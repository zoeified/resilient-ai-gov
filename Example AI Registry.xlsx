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sTools\zoeified\resilient-ai-gov\"/>
    </mc:Choice>
  </mc:AlternateContent>
  <xr:revisionPtr revIDLastSave="0" documentId="13_ncr:1_{8D4B8FFF-DDF3-40E5-BD36-983625D84381}" xr6:coauthVersionLast="47" xr6:coauthVersionMax="47" xr10:uidLastSave="{00000000-0000-0000-0000-000000000000}"/>
  <bookViews>
    <workbookView xWindow="-120" yWindow="-120" windowWidth="51840" windowHeight="21120" tabRatio="500" activeTab="1" xr2:uid="{00000000-000D-0000-FFFF-FFFF00000000}"/>
  </bookViews>
  <sheets>
    <sheet name="How to Use" sheetId="1" r:id="rId1"/>
    <sheet name="AI Registry" sheetId="2" r:id="rId2"/>
    <sheet name="Access &amp; RBAC" sheetId="3" r:id="rId3"/>
    <sheet name="Portfolio View" sheetId="4" r:id="rId4"/>
    <sheet name="Domain Requirement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5" i="2" l="1"/>
  <c r="J35" i="2" s="1"/>
  <c r="H35" i="2"/>
  <c r="I34" i="2"/>
  <c r="J34" i="2" s="1"/>
  <c r="H34" i="2"/>
  <c r="J33" i="2"/>
  <c r="I33" i="2"/>
  <c r="H33" i="2"/>
  <c r="I32" i="2"/>
  <c r="J32" i="2" s="1"/>
  <c r="H32" i="2"/>
  <c r="I31" i="2"/>
  <c r="J31" i="2" s="1"/>
  <c r="H31" i="2"/>
  <c r="I30" i="2"/>
  <c r="J30" i="2" s="1"/>
  <c r="H30" i="2"/>
  <c r="J29" i="2"/>
  <c r="I29" i="2"/>
  <c r="H29" i="2"/>
  <c r="I28" i="2"/>
  <c r="J28" i="2" s="1"/>
  <c r="H28" i="2"/>
  <c r="I27" i="2"/>
  <c r="J27" i="2" s="1"/>
  <c r="H27" i="2"/>
  <c r="I26" i="2"/>
  <c r="J26" i="2" s="1"/>
  <c r="H26" i="2"/>
  <c r="J25" i="2"/>
  <c r="I25" i="2"/>
  <c r="H25" i="2"/>
  <c r="I24" i="2"/>
  <c r="J24" i="2" s="1"/>
  <c r="H24" i="2"/>
  <c r="I23" i="2"/>
  <c r="J23" i="2" s="1"/>
  <c r="H23" i="2"/>
  <c r="I22" i="2"/>
  <c r="J22" i="2" s="1"/>
  <c r="H22" i="2"/>
  <c r="J21" i="2"/>
  <c r="I21" i="2"/>
  <c r="H21" i="2"/>
  <c r="I20" i="2"/>
  <c r="J20" i="2" s="1"/>
  <c r="H20" i="2"/>
  <c r="I19" i="2"/>
  <c r="J19" i="2" s="1"/>
  <c r="H19" i="2"/>
  <c r="I18" i="2"/>
  <c r="J18" i="2" s="1"/>
  <c r="H18" i="2"/>
  <c r="H17" i="2"/>
  <c r="I17" i="2" s="1"/>
  <c r="J17" i="2" s="1"/>
  <c r="H16" i="2"/>
  <c r="I16" i="2" s="1"/>
  <c r="J16" i="2" s="1"/>
  <c r="H15" i="2"/>
  <c r="I15" i="2" s="1"/>
  <c r="J15" i="2" s="1"/>
  <c r="H14" i="2"/>
  <c r="I14" i="2" s="1"/>
  <c r="J14" i="2" s="1"/>
  <c r="H13" i="2"/>
  <c r="I13" i="2" s="1"/>
  <c r="J13" i="2" s="1"/>
  <c r="H12" i="2"/>
  <c r="I12" i="2" s="1"/>
  <c r="J12" i="2" s="1"/>
  <c r="H11" i="2"/>
  <c r="I11" i="2" s="1"/>
  <c r="J11" i="2" s="1"/>
  <c r="H10" i="2"/>
  <c r="I10" i="2" s="1"/>
  <c r="J10" i="2" s="1"/>
  <c r="H9" i="2"/>
  <c r="I9" i="2" s="1"/>
  <c r="J9" i="2" s="1"/>
  <c r="H8" i="2"/>
  <c r="I8" i="2" s="1"/>
  <c r="J8" i="2" s="1"/>
  <c r="H7" i="2"/>
  <c r="I7" i="2" s="1"/>
  <c r="J7" i="2" s="1"/>
  <c r="H6" i="2"/>
  <c r="I6" i="2" s="1"/>
  <c r="C8" i="4" l="1"/>
  <c r="C7" i="4"/>
  <c r="C6" i="4"/>
  <c r="C5" i="4"/>
  <c r="J6" i="2"/>
</calcChain>
</file>

<file path=xl/sharedStrings.xml><?xml version="1.0" encoding="utf-8"?>
<sst xmlns="http://schemas.openxmlformats.org/spreadsheetml/2006/main" count="266" uniqueCount="194">
  <si>
    <t>AI Registry</t>
  </si>
  <si>
    <t>Single source of truth for AI tools. Companion to “Governance That Grows With Your AI.”</t>
  </si>
  <si>
    <t>Purpose</t>
  </si>
  <si>
    <t>This workbook is the AI Registry referenced in the AI Governance Policy. It is the single source of truth for AI implementations used by the organization. Each AI implementation is recorded here, evaluated on four characteristics, and routed to a governance domain.</t>
  </si>
  <si>
    <t>Tabs</t>
  </si>
  <si>
    <t>AI Registry. Every AI tool with its vendor, URL, scoring, domain, and recommended governance move. Add a new row for every AI implementation in the environment.
Access &amp; RBAC. The departments authorized to use each tool, the role or group that controls access, the data sensitivity permitted, and the approver.
Portfolio View. Counts how AI implementations spread across the four domains.
Domain Requirements. The standing requirements an implementation inherits when routed to a domain. Mirrors the policy.</t>
  </si>
  <si>
    <t>The four characteristics</t>
  </si>
  <si>
    <t>Characteristic</t>
  </si>
  <si>
    <t>1  (ordered)        ...        4  (unordered)</t>
  </si>
  <si>
    <t>Autonomy</t>
  </si>
  <si>
    <t>1 Informs only; human takes every action.  2 Recommends; human approves.  3 Acts within narrow bounds; human monitors.  4 Acts independently; no human in the loop.</t>
  </si>
  <si>
    <t>Explainability</t>
  </si>
  <si>
    <t>1 Fully traceable, deterministic logic.  2 Mostly explainable; an expert can analyze it.  3 Partially opaque; hard to trace why.  4 Black box; no reliable explanation.</t>
  </si>
  <si>
    <t>Adaptivity</t>
  </si>
  <si>
    <t>1 Static; behavior fixed after deployment.  2 Periodic, controlled retraining.  3 Frequent updates or drifts over time.  4 Continuously learning; changes in production.</t>
  </si>
  <si>
    <t>Reversibility</t>
  </si>
  <si>
    <t>1 Fully reversible; clean undo.  2 Recoverable with effort.  3 Hard to undo; lasting effects.  4 Irreversible; the damage is in the world.</t>
  </si>
  <si>
    <t>How the score routes to a domain</t>
  </si>
  <si>
    <t>Domain</t>
  </si>
  <si>
    <t>What it means and the governance move</t>
  </si>
  <si>
    <t>Clear  (total 4-6)</t>
  </si>
  <si>
    <t>Known and ordered. The Foundation already covers it. Confirm classification, vendor review, charter; add a reassessment trigger. No new tailoring.</t>
  </si>
  <si>
    <t>Complicated  (7-10)</t>
  </si>
  <si>
    <t>Knowable with expertise. Add expert controls: model documentation, validation and bias testing, drift monitoring, named owner, human review gate.</t>
  </si>
  <si>
    <t>Complex  (11-13)</t>
  </si>
  <si>
    <t>Emergent. Cause and effect appear only in hindsight. Run a safe-to-fail probe: pilot teams, lightweight guideline, instrument the behavior, short feedback loop.</t>
  </si>
  <si>
    <t>Chaotic  (14-16)</t>
  </si>
  <si>
    <t>No discernible cause and effect in the moment. Pre-decide authority before any incident: kill switch, named decision-maker, AI-specific IR playbook, preserve inputs and outputs.</t>
  </si>
  <si>
    <t>Escalation rules</t>
  </si>
  <si>
    <t>Two narrow risks shall not be averaged away. If Autonomy is 4 AND Reversibility is 3 or higher, the implementation is treated as Chaotic regardless of total. If Adaptivity is 3 or higher AND Explainability is 3 or higher, the implementation is treated as at least Complex regardless of total.</t>
  </si>
  <si>
    <t>Live use</t>
  </si>
  <si>
    <t>Four examples are pre-filled on the AI Registry tab. Type over them or add rows below. The Access &amp; RBAC tab uses a dropdown that pulls implementation names from the AI Registry, so the two tabs stay in sync.</t>
  </si>
  <si>
    <t>AI Registry  |  Single source of truth for AI tools</t>
  </si>
  <si>
    <t>Score each row 1 (ordered) to 4 (unordered). Cells color as you type; Domain and the recommended move calculate automatically.</t>
  </si>
  <si>
    <t>Domain legend:</t>
  </si>
  <si>
    <t>Clear</t>
  </si>
  <si>
    <t>Complicated</t>
  </si>
  <si>
    <t>Complex</t>
  </si>
  <si>
    <t>Chaotic</t>
  </si>
  <si>
    <t>AI Implementation</t>
  </si>
  <si>
    <t>Vendor</t>
  </si>
  <si>
    <t>URL</t>
  </si>
  <si>
    <t>Total</t>
  </si>
  <si>
    <t>Recommended Governance Move</t>
  </si>
  <si>
    <t>Vendor chatbot (order status)</t>
  </si>
  <si>
    <t>[Vendor name]</t>
  </si>
  <si>
    <t>[vendor portal URL]</t>
  </si>
  <si>
    <t>Demand-forecasting model (internal)</t>
  </si>
  <si>
    <t>Internal</t>
  </si>
  <si>
    <t>[internal app URL]</t>
  </si>
  <si>
    <t>AI coding assistant (development)</t>
  </si>
  <si>
    <t>[tool URL]</t>
  </si>
  <si>
    <t>Agentic logistics AI (auto-reroute)</t>
  </si>
  <si>
    <t>Claude.ai (chat assistant)</t>
  </si>
  <si>
    <t>Anthropic</t>
  </si>
  <si>
    <t>https://claude.ai</t>
  </si>
  <si>
    <t>Claude Cowork</t>
  </si>
  <si>
    <t>Claude Code</t>
  </si>
  <si>
    <t>https://claude.com</t>
  </si>
  <si>
    <t>Salesforce with Einstein/AgentForce</t>
  </si>
  <si>
    <t>Salesforce</t>
  </si>
  <si>
    <t>[tenant URL]</t>
  </si>
  <si>
    <t>Microsoft 365 Copilot</t>
  </si>
  <si>
    <t>Microsoft</t>
  </si>
  <si>
    <t>GitHub Copilot</t>
  </si>
  <si>
    <t>GitHub/Microsoft</t>
  </si>
  <si>
    <t>https://github.com/copilot</t>
  </si>
  <si>
    <t>ChatGPT Enterprise</t>
  </si>
  <si>
    <t>OpenAI</t>
  </si>
  <si>
    <t>https://chatgpt.com</t>
  </si>
  <si>
    <t>Zoom AI Companion</t>
  </si>
  <si>
    <t>Zoom</t>
  </si>
  <si>
    <t>Access &amp; RBAC  |  Department authorization and role-based access per AI tool</t>
  </si>
  <si>
    <t>One row per tool + department combination. The AI Implementation column pulls from the AI Registry to keep both tabs in sync.</t>
  </si>
  <si>
    <t>Tool sensitivity:</t>
  </si>
  <si>
    <t>Public</t>
  </si>
  <si>
    <t>Confidential</t>
  </si>
  <si>
    <t>Regulated (PHI/PII/PCI)</t>
  </si>
  <si>
    <t>Department / Team</t>
  </si>
  <si>
    <t>Access Method</t>
  </si>
  <si>
    <t>Required Role / Group</t>
  </si>
  <si>
    <t>Data Sensitivity Allowed</t>
  </si>
  <si>
    <t>Approver</t>
  </si>
  <si>
    <t>Last Reviewed</t>
  </si>
  <si>
    <t>Notes</t>
  </si>
  <si>
    <t>Customer Service</t>
  </si>
  <si>
    <t>SSO group</t>
  </si>
  <si>
    <t>CS-Chatbot-Users</t>
  </si>
  <si>
    <t>[Customer Service Director]</t>
  </si>
  <si>
    <t>[Date]</t>
  </si>
  <si>
    <t>Order status only; no PHI.</t>
  </si>
  <si>
    <t>Supply Chain / Procurement</t>
  </si>
  <si>
    <t>AD group</t>
  </si>
  <si>
    <t>SupplyChain-Forecasting</t>
  </si>
  <si>
    <t>[Supply Chain Director]</t>
  </si>
  <si>
    <t>Read access for analysts; write for data team.</t>
  </si>
  <si>
    <t>Engineering</t>
  </si>
  <si>
    <t>Engineering-AIDev</t>
  </si>
  <si>
    <t>[VP Engineering]</t>
  </si>
  <si>
    <t>No regulated data in prompts; see SDLC guideline.</t>
  </si>
  <si>
    <t>Logistics Operations</t>
  </si>
  <si>
    <t>Admin group</t>
  </si>
  <si>
    <t>Logistics-AgentOps</t>
  </si>
  <si>
    <t>[COO / AI Governance Committee]</t>
  </si>
  <si>
    <t>Restricted admin; named individual with disable authority.</t>
  </si>
  <si>
    <t>All Staff</t>
  </si>
  <si>
    <t>SSO + workspace seat</t>
  </si>
  <si>
    <t>Anthropic-AllStaff</t>
  </si>
  <si>
    <t>[IT Director]</t>
  </si>
  <si>
    <t>No regulated data in prompts.</t>
  </si>
  <si>
    <t>Operations / Knowledge</t>
  </si>
  <si>
    <t>Anthropic-Cowork</t>
  </si>
  <si>
    <t>File and task automation; review before send.</t>
  </si>
  <si>
    <t>Anthropic-Engineering</t>
  </si>
  <si>
    <t>Restricted to dev environments; no prod secrets in prompts.</t>
  </si>
  <si>
    <t>Sales / Customer Success</t>
  </si>
  <si>
    <t>Salesforce role</t>
  </si>
  <si>
    <t>SF-AI-Users</t>
  </si>
  <si>
    <t>[VP Sales]</t>
  </si>
  <si>
    <t>Customer data scope; review AI-generated communications.</t>
  </si>
  <si>
    <t>M365 license + group</t>
  </si>
  <si>
    <t>M365-Copilot-Users</t>
  </si>
  <si>
    <t>[CIO]</t>
  </si>
  <si>
    <t>Inherits user permissions; data classification still applies.</t>
  </si>
  <si>
    <t>GitHub team</t>
  </si>
  <si>
    <t>GH-Copilot-Devs</t>
  </si>
  <si>
    <t>No PHI/PII in prompts; org policy on suggestion review.</t>
  </si>
  <si>
    <t>All Staff (opt-in)</t>
  </si>
  <si>
    <t>Enterprise SSO</t>
  </si>
  <si>
    <t>OpenAI-Ent-Users</t>
  </si>
  <si>
    <t>No regulated data; vendor zero-retention setting confirmed.</t>
  </si>
  <si>
    <t>Zoom account setting</t>
  </si>
  <si>
    <t>Zoom-AICompanion</t>
  </si>
  <si>
    <t>[Comms Director]</t>
  </si>
  <si>
    <t>Summaries; meeting host controls enablement.</t>
  </si>
  <si>
    <t>Portfolio View</t>
  </si>
  <si>
    <t>How your AI implementations spread across the four domains. Updates from the AI Registry tab.</t>
  </si>
  <si>
    <t>Count</t>
  </si>
  <si>
    <t>AI Governance Policy  |  Domain Requirements</t>
  </si>
  <si>
    <t>Standing requirements an implementation inherits once the AI Registry routes it to a domain. Written against characteristics, not tools, so the policy handles the next thing before it comes. Seeded clauses shown; shortened for example purposes.</t>
  </si>
  <si>
    <t>Foundation (Clear) — applies to every implementation</t>
  </si>
  <si>
    <t>Triggered when</t>
  </si>
  <si>
    <t>Scores Clear (total 4-6): known, ordered, reversible. Needs nothing beyond the foundation. Confirm it applies; add a reassessment trigger. Review at least annually or on material change.</t>
  </si>
  <si>
    <t>5.1.1</t>
  </si>
  <si>
    <t>Data classification: classify the data any AI may access; confirm before deployment.</t>
  </si>
  <si>
    <t>5.1.2</t>
  </si>
  <si>
    <t>Data protections: encryption, access control, retention, monitoring for classified data.</t>
  </si>
  <si>
    <t>5.1.3</t>
  </si>
  <si>
    <t>AI charter: conform to charter principles, ownership, decision rights.</t>
  </si>
  <si>
    <t>5.1.4</t>
  </si>
  <si>
    <t>Vendor risk management: review third-party and SaaS tools for AI features, including vendor-enabled AI.</t>
  </si>
  <si>
    <t>5.1.5</t>
  </si>
  <si>
    <t>Access control: RBAC per implementation; departments, roles, and approved sensitivity tracked in the AI Registry.</t>
  </si>
  <si>
    <t>Room to add</t>
  </si>
  <si>
    <t>Acceptable use, training, intake. Seed two pillars; let the room build the rest.</t>
  </si>
  <si>
    <t>Complicated domain requirements</t>
  </si>
  <si>
    <t>Knowable with expertise; outputs inform decisions; analyzable (7-10). Move: expert controls. Review at defined intervals, including each significant retraining. Exceptions: standard approver, longer expiry.</t>
  </si>
  <si>
    <t>5.2.1</t>
  </si>
  <si>
    <t>Outputs that inform decisions shall be documented (sources, intended use, limitations) before reliance.</t>
  </si>
  <si>
    <t>5.2.2</t>
  </si>
  <si>
    <t>Validation and bias testing against a defined acceptable range, before production and at intervals.</t>
  </si>
  <si>
    <t>5.2.3</t>
  </si>
  <si>
    <t>Adaptive or retrained implementations shall be monitored for drift; named technical owner accountable.</t>
  </si>
  <si>
    <t>5.2.4</t>
  </si>
  <si>
    <t>Outputs driving a material decision shall pass a defined human review gate before action.</t>
  </si>
  <si>
    <t>Regulator documentation needs? Acceptable error range? Who owns validation, how often? Which decisions need a human gate?</t>
  </si>
  <si>
    <t>Complex domain requirements</t>
  </si>
  <si>
    <t>Emergent; opaque; changes in response to use or controls (11-13, or changes-over-time AND opaque). Move: safe-to-fail probe. Review on a short cycle (weeks). Exceptions: higher approver, shorter expiry, active monitoring.</t>
  </si>
  <si>
    <t>5.3.1</t>
  </si>
  <si>
    <t>Emergent or use-responsive behavior shall be governed through a time-bounded, safe-to-fail pilot before broad deployment.</t>
  </si>
  <si>
    <t>5.3.2</t>
  </si>
  <si>
    <t>Pilots shall be instrumented to capture actual behavior, including where users adapt around controls.</t>
  </si>
  <si>
    <t>5.3.3</t>
  </si>
  <si>
    <t>Governance reviewed on a short cycle (weeks); requirements may evolve from observed behavior rather than fixed in advance.</t>
  </si>
  <si>
    <t>5.3.4</t>
  </si>
  <si>
    <t>Controls shall make the governed path the easiest path, channeling behavior where a ban would drive it out of view.</t>
  </si>
  <si>
    <t>Safe-to-fail boundary here? Signals that show drift? How short is the cycle, and who owns it? Where would a ban just hide activity?</t>
  </si>
  <si>
    <t>Chaotic domain requirements</t>
  </si>
  <si>
    <t>Acts on its own and cannot be cleanly undone; opaque; novel; real-world blast radius (14-16, or autonomous AND hard to reverse). Move: pre-decided authority. Continuous readiness; review after every incident. Exceptions: highest authority, shortest expiry; cannot waive the kill switch.</t>
  </si>
  <si>
    <t>5.4.1</t>
  </si>
  <si>
    <t>Autonomous, non-reversible implementations shall have a defined kill switch and a named individual with standing authority to disable without prior approval.</t>
  </si>
  <si>
    <t>5.4.2</t>
  </si>
  <si>
    <t>Maintain an AI-specific IR procedure: stabilize, isolate the model, preserve inputs and outputs. Where the system talks to external or third-party agents, preservation extends across organizational boundaries.</t>
  </si>
  <si>
    <t>5.4.3</t>
  </si>
  <si>
    <t>Authority and the business decision to take a system offline shall be pre-assigned before deployment, not decided during an incident.</t>
  </si>
  <si>
    <t>5.4.4</t>
  </si>
  <si>
    <t>Each incident shall be followed by a documented review once stabilized; root cause may remain partial.</t>
  </si>
  <si>
    <t>Who can pull each autonomous system, in writing? Stabilization for your business? Who accepts the cost of going offline? How do you preserve evidence across vendor boundaries when agents talk to agents?</t>
  </si>
  <si>
    <t>How a new AI inherits governance</t>
  </si>
  <si>
    <t>1. A new AI implementation appears (you sought it, or a vendor switched it on).</t>
  </si>
  <si>
    <t>2. Record it in the AI Registry; score the four characteristics.</t>
  </si>
  <si>
    <t>3. The score routes it to a domain.</t>
  </si>
  <si>
    <t>4. It inherits the foundation plus that domain's requirements, immediately.</t>
  </si>
  <si>
    <t>5. If it changes shape (gains autonomy, talks to outside agents), re-score it; it moves domains and inherits the new requirements. The foundation never moves.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</si>
</sst>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6"/>
      <color rgb="FFFFFFFF"/>
      <name val="Arial"/>
      <charset val="1"/>
    </font>
    <font>
      <i/>
      <sz val="10"/>
      <color rgb="FF595959"/>
      <name val="Arial"/>
      <charset val="1"/>
    </font>
    <font>
      <b/>
      <sz val="11"/>
      <color rgb="FF156082"/>
      <name val="Arial"/>
      <charset val="1"/>
    </font>
    <font>
      <sz val="10"/>
      <name val="Arial"/>
      <charset val="1"/>
    </font>
    <font>
      <b/>
      <sz val="12"/>
      <color rgb="FF156082"/>
      <name val="Arial"/>
      <charset val="1"/>
    </font>
    <font>
      <b/>
      <sz val="11"/>
      <color rgb="FFFFFFFF"/>
      <name val="Arial"/>
      <charset val="1"/>
    </font>
    <font>
      <b/>
      <sz val="10"/>
      <name val="Arial"/>
      <charset val="1"/>
    </font>
    <font>
      <b/>
      <sz val="14"/>
      <color rgb="FFFFFFFF"/>
      <name val="Arial"/>
      <charset val="1"/>
    </font>
    <font>
      <i/>
      <sz val="9"/>
      <color rgb="FF595959"/>
      <name val="Arial"/>
      <charset val="1"/>
    </font>
    <font>
      <b/>
      <sz val="10"/>
      <color rgb="FF156082"/>
      <name val="Arial"/>
      <charset val="1"/>
    </font>
    <font>
      <sz val="10"/>
      <color rgb="FF0000FF"/>
      <name val="Arial"/>
      <charset val="1"/>
    </font>
    <font>
      <sz val="9"/>
      <name val="Arial"/>
      <charset val="1"/>
    </font>
    <font>
      <b/>
      <sz val="12"/>
      <color rgb="FF1F1F1F"/>
      <name val="Arial"/>
      <charset val="1"/>
    </font>
    <font>
      <b/>
      <sz val="9"/>
      <color rgb="FF156082"/>
      <name val="Arial"/>
      <charset val="1"/>
    </font>
    <font>
      <b/>
      <sz val="9"/>
      <name val="Arial"/>
      <charset val="1"/>
    </font>
    <font>
      <b/>
      <sz val="9"/>
      <color rgb="FF595959"/>
      <name val="Arial"/>
      <charset val="1"/>
    </font>
  </fonts>
  <fills count="7">
    <fill>
      <patternFill patternType="none"/>
    </fill>
    <fill>
      <patternFill patternType="gray125"/>
    </fill>
    <fill>
      <patternFill patternType="solid">
        <fgColor rgb="FF156082"/>
        <bgColor rgb="FF008080"/>
      </patternFill>
    </fill>
    <fill>
      <patternFill patternType="solid">
        <fgColor rgb="FFC6E0B4"/>
        <bgColor rgb="FFD9D9D9"/>
      </patternFill>
    </fill>
    <fill>
      <patternFill patternType="solid">
        <fgColor rgb="FFBDD7EE"/>
        <bgColor rgb="FFD9D9D9"/>
      </patternFill>
    </fill>
    <fill>
      <patternFill patternType="solid">
        <fgColor rgb="FFFFE699"/>
        <bgColor rgb="FFFFFFCC"/>
      </patternFill>
    </fill>
    <fill>
      <patternFill patternType="solid">
        <fgColor rgb="FFF4B0A6"/>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top" wrapText="1"/>
    </xf>
    <xf numFmtId="0" fontId="4" fillId="0" borderId="1" xfId="0" applyFont="1" applyBorder="1" applyAlignment="1">
      <alignment vertical="top"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7" fillId="5" borderId="1" xfId="0" applyFont="1" applyFill="1" applyBorder="1" applyAlignment="1">
      <alignment vertical="center" wrapText="1"/>
    </xf>
    <xf numFmtId="0" fontId="7" fillId="6" borderId="1" xfId="0" applyFont="1" applyFill="1" applyBorder="1" applyAlignment="1">
      <alignment vertical="center" wrapText="1"/>
    </xf>
    <xf numFmtId="0" fontId="10" fillId="0" borderId="0" xfId="0" applyFont="1" applyAlignment="1">
      <alignment horizontal="left" vertical="center" indent="1"/>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1" xfId="0" applyFont="1" applyBorder="1" applyAlignment="1">
      <alignment vertical="center" wrapText="1"/>
    </xf>
    <xf numFmtId="0" fontId="11" fillId="0" borderId="1" xfId="0" applyFont="1" applyBorder="1" applyAlignment="1">
      <alignment horizontal="center" vertical="center"/>
    </xf>
    <xf numFmtId="0" fontId="7" fillId="0" borderId="1" xfId="0" applyFont="1" applyBorder="1" applyAlignment="1">
      <alignment horizontal="center" vertical="center"/>
    </xf>
    <xf numFmtId="0" fontId="12" fillId="0" borderId="1" xfId="0" applyFont="1" applyBorder="1" applyAlignment="1">
      <alignment vertical="center" wrapText="1"/>
    </xf>
    <xf numFmtId="0" fontId="7" fillId="3" borderId="1" xfId="0" applyFont="1" applyFill="1" applyBorder="1" applyAlignment="1">
      <alignment vertical="center" indent="1"/>
    </xf>
    <xf numFmtId="0" fontId="7" fillId="0" borderId="1" xfId="0" applyFont="1" applyBorder="1" applyAlignment="1">
      <alignment horizontal="center"/>
    </xf>
    <xf numFmtId="0" fontId="7" fillId="4" borderId="1" xfId="0" applyFont="1" applyFill="1" applyBorder="1" applyAlignment="1">
      <alignment vertical="center" indent="1"/>
    </xf>
    <xf numFmtId="0" fontId="7" fillId="5" borderId="1" xfId="0" applyFont="1" applyFill="1" applyBorder="1" applyAlignment="1">
      <alignment vertical="center" indent="1"/>
    </xf>
    <xf numFmtId="0" fontId="7" fillId="6" borderId="1" xfId="0" applyFont="1" applyFill="1" applyBorder="1" applyAlignment="1">
      <alignment vertical="center" indent="1"/>
    </xf>
    <xf numFmtId="0" fontId="14" fillId="0" borderId="0" xfId="0" applyFont="1" applyAlignment="1">
      <alignment vertical="top"/>
    </xf>
    <xf numFmtId="0" fontId="12" fillId="0" borderId="0" xfId="0" applyFont="1" applyAlignment="1">
      <alignment vertical="top" wrapText="1"/>
    </xf>
    <xf numFmtId="0" fontId="15" fillId="0" borderId="1" xfId="0" applyFont="1" applyBorder="1" applyAlignment="1">
      <alignment horizontal="center" vertical="top"/>
    </xf>
    <xf numFmtId="0" fontId="12" fillId="0" borderId="1" xfId="0" applyFont="1" applyBorder="1" applyAlignment="1">
      <alignment vertical="top" wrapText="1"/>
    </xf>
    <xf numFmtId="0" fontId="16" fillId="0" borderId="0" xfId="0" applyFont="1" applyAlignment="1">
      <alignment vertical="top"/>
    </xf>
    <xf numFmtId="0" fontId="9" fillId="0" borderId="0" xfId="0" applyFont="1" applyAlignment="1">
      <alignment vertical="top" wrapText="1"/>
    </xf>
    <xf numFmtId="0" fontId="1" fillId="2" borderId="0" xfId="0" applyFont="1" applyFill="1" applyAlignment="1">
      <alignment horizontal="left" vertical="center" indent="1"/>
    </xf>
    <xf numFmtId="0" fontId="2" fillId="0" borderId="0" xfId="0" applyFont="1" applyAlignment="1">
      <alignment horizontal="left" indent="1"/>
    </xf>
    <xf numFmtId="0" fontId="8" fillId="2" borderId="0" xfId="0" applyFont="1" applyFill="1" applyAlignment="1">
      <alignment horizontal="left" vertical="center" indent="1"/>
    </xf>
    <xf numFmtId="0" fontId="9" fillId="0" borderId="0" xfId="0" applyFont="1" applyAlignment="1">
      <alignment horizontal="left" indent="1"/>
    </xf>
    <xf numFmtId="0" fontId="13" fillId="6" borderId="0" xfId="0" applyFont="1" applyFill="1" applyAlignment="1">
      <alignment vertical="center" indent="1"/>
    </xf>
    <xf numFmtId="0" fontId="3" fillId="0" borderId="0" xfId="0" applyFont="1"/>
    <xf numFmtId="0" fontId="13" fillId="3" borderId="0" xfId="0" applyFont="1" applyFill="1" applyAlignment="1">
      <alignment vertical="center" indent="1"/>
    </xf>
    <xf numFmtId="0" fontId="13" fillId="4" borderId="0" xfId="0" applyFont="1" applyFill="1" applyAlignment="1">
      <alignment vertical="center" indent="1"/>
    </xf>
    <xf numFmtId="0" fontId="13" fillId="5" borderId="0" xfId="0" applyFont="1" applyFill="1" applyAlignment="1">
      <alignment vertical="center" indent="1"/>
    </xf>
  </cellXfs>
  <cellStyles count="1">
    <cellStyle name="Normal" xfId="0" builtinId="0"/>
  </cellStyles>
  <dxfs count="8">
    <dxf>
      <fill>
        <patternFill>
          <bgColor rgb="FFF4B0A6"/>
        </patternFill>
      </fill>
    </dxf>
    <dxf>
      <fill>
        <patternFill>
          <bgColor rgb="FFFFE699"/>
        </patternFill>
      </fill>
    </dxf>
    <dxf>
      <fill>
        <patternFill>
          <bgColor rgb="FFBDD7EE"/>
        </patternFill>
      </fill>
    </dxf>
    <dxf>
      <fill>
        <patternFill>
          <bgColor rgb="FFC6E0B4"/>
        </patternFill>
      </fill>
    </dxf>
    <dxf>
      <fill>
        <patternFill>
          <bgColor rgb="FFF4B0A6"/>
        </patternFill>
      </fill>
    </dxf>
    <dxf>
      <fill>
        <patternFill>
          <bgColor rgb="FFFFE699"/>
        </patternFill>
      </fill>
    </dxf>
    <dxf>
      <fill>
        <patternFill>
          <bgColor rgb="FFBDD7EE"/>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78787"/>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4B0A6"/>
      <rgbColor rgb="FFCC99FF"/>
      <rgbColor rgb="FFD9D9D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AI Implementations by Domain</a:t>
            </a:r>
          </a:p>
        </c:rich>
      </c:tx>
      <c:overlay val="0"/>
      <c:spPr>
        <a:noFill/>
        <a:ln w="0">
          <a:noFill/>
        </a:ln>
      </c:spPr>
    </c:title>
    <c:autoTitleDeleted val="0"/>
    <c:plotArea>
      <c:layout/>
      <c:barChart>
        <c:barDir val="col"/>
        <c:grouping val="clustered"/>
        <c:varyColors val="0"/>
        <c:ser>
          <c:idx val="0"/>
          <c:order val="0"/>
          <c:tx>
            <c:strRef>
              <c:f>'Portfolio View'!$C$4</c:f>
              <c:strCache>
                <c:ptCount val="1"/>
                <c:pt idx="0">
                  <c:v>Count</c:v>
                </c:pt>
              </c:strCache>
            </c:strRef>
          </c:tx>
          <c:spPr>
            <a:solidFill>
              <a:srgbClr val="4F81BD"/>
            </a:solidFill>
            <a:ln w="0">
              <a:noFill/>
            </a:ln>
          </c:spPr>
          <c:invertIfNegative val="0"/>
          <c:dPt>
            <c:idx val="0"/>
            <c:invertIfNegative val="0"/>
            <c:bubble3D val="0"/>
            <c:spPr>
              <a:solidFill>
                <a:srgbClr val="C6E0B4"/>
              </a:solidFill>
              <a:ln w="0">
                <a:noFill/>
              </a:ln>
            </c:spPr>
            <c:extLst>
              <c:ext xmlns:c16="http://schemas.microsoft.com/office/drawing/2014/chart" uri="{C3380CC4-5D6E-409C-BE32-E72D297353CC}">
                <c16:uniqueId val="{00000001-813E-4D81-884F-0D6C3020A635}"/>
              </c:ext>
            </c:extLst>
          </c:dPt>
          <c:dPt>
            <c:idx val="1"/>
            <c:invertIfNegative val="0"/>
            <c:bubble3D val="0"/>
            <c:spPr>
              <a:solidFill>
                <a:srgbClr val="BDD7EE"/>
              </a:solidFill>
              <a:ln w="0">
                <a:noFill/>
              </a:ln>
            </c:spPr>
            <c:extLst>
              <c:ext xmlns:c16="http://schemas.microsoft.com/office/drawing/2014/chart" uri="{C3380CC4-5D6E-409C-BE32-E72D297353CC}">
                <c16:uniqueId val="{00000003-813E-4D81-884F-0D6C3020A635}"/>
              </c:ext>
            </c:extLst>
          </c:dPt>
          <c:dPt>
            <c:idx val="2"/>
            <c:invertIfNegative val="0"/>
            <c:bubble3D val="0"/>
            <c:spPr>
              <a:solidFill>
                <a:srgbClr val="FFE699"/>
              </a:solidFill>
              <a:ln w="0">
                <a:noFill/>
              </a:ln>
            </c:spPr>
            <c:extLst>
              <c:ext xmlns:c16="http://schemas.microsoft.com/office/drawing/2014/chart" uri="{C3380CC4-5D6E-409C-BE32-E72D297353CC}">
                <c16:uniqueId val="{00000005-813E-4D81-884F-0D6C3020A635}"/>
              </c:ext>
            </c:extLst>
          </c:dPt>
          <c:dPt>
            <c:idx val="3"/>
            <c:invertIfNegative val="0"/>
            <c:bubble3D val="0"/>
            <c:spPr>
              <a:solidFill>
                <a:srgbClr val="F4B0A6"/>
              </a:solidFill>
              <a:ln w="0">
                <a:noFill/>
              </a:ln>
            </c:spPr>
            <c:extLst>
              <c:ext xmlns:c16="http://schemas.microsoft.com/office/drawing/2014/chart" uri="{C3380CC4-5D6E-409C-BE32-E72D297353CC}">
                <c16:uniqueId val="{00000007-813E-4D81-884F-0D6C3020A635}"/>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13E-4D81-884F-0D6C3020A635}"/>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13E-4D81-884F-0D6C3020A635}"/>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13E-4D81-884F-0D6C3020A635}"/>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13E-4D81-884F-0D6C3020A635}"/>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 View'!$B$5:$B$8</c:f>
              <c:strCache>
                <c:ptCount val="4"/>
                <c:pt idx="0">
                  <c:v>Clear</c:v>
                </c:pt>
                <c:pt idx="1">
                  <c:v>Complicated</c:v>
                </c:pt>
                <c:pt idx="2">
                  <c:v>Complex</c:v>
                </c:pt>
                <c:pt idx="3">
                  <c:v>Chaotic</c:v>
                </c:pt>
              </c:strCache>
            </c:strRef>
          </c:cat>
          <c:val>
            <c:numRef>
              <c:f>'Portfolio View'!$C$5:$C$8</c:f>
              <c:numCache>
                <c:formatCode>General</c:formatCode>
                <c:ptCount val="4"/>
                <c:pt idx="0">
                  <c:v>1</c:v>
                </c:pt>
                <c:pt idx="1">
                  <c:v>8</c:v>
                </c:pt>
                <c:pt idx="2">
                  <c:v>2</c:v>
                </c:pt>
                <c:pt idx="3">
                  <c:v>1</c:v>
                </c:pt>
              </c:numCache>
            </c:numRef>
          </c:val>
          <c:extLst>
            <c:ext xmlns:c16="http://schemas.microsoft.com/office/drawing/2014/chart" uri="{C3380CC4-5D6E-409C-BE32-E72D297353CC}">
              <c16:uniqueId val="{00000008-813E-4D81-884F-0D6C3020A635}"/>
            </c:ext>
          </c:extLst>
        </c:ser>
        <c:dLbls>
          <c:showLegendKey val="0"/>
          <c:showVal val="0"/>
          <c:showCatName val="0"/>
          <c:showSerName val="0"/>
          <c:showPercent val="0"/>
          <c:showBubbleSize val="0"/>
        </c:dLbls>
        <c:gapWidth val="150"/>
        <c:axId val="23481378"/>
        <c:axId val="47680907"/>
      </c:barChart>
      <c:catAx>
        <c:axId val="234813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680907"/>
        <c:crosses val="autoZero"/>
        <c:auto val="1"/>
        <c:lblAlgn val="ctr"/>
        <c:lblOffset val="100"/>
        <c:noMultiLvlLbl val="0"/>
      </c:catAx>
      <c:valAx>
        <c:axId val="4768090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481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557280</xdr:colOff>
      <xdr:row>25</xdr:row>
      <xdr:rowOff>21960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4"/>
  <sheetViews>
    <sheetView showGridLines="0" zoomScaleNormal="100" workbookViewId="0"/>
  </sheetViews>
  <sheetFormatPr defaultColWidth="8.7109375" defaultRowHeight="15" x14ac:dyDescent="0.25"/>
  <cols>
    <col min="1" max="1" width="2" customWidth="1"/>
    <col min="2" max="2" width="26" customWidth="1"/>
    <col min="3" max="3" width="90" customWidth="1"/>
  </cols>
  <sheetData>
    <row r="1" spans="2:3" ht="30" customHeight="1" x14ac:dyDescent="0.25">
      <c r="B1" s="31" t="s">
        <v>0</v>
      </c>
      <c r="C1" s="31"/>
    </row>
    <row r="2" spans="2:3" x14ac:dyDescent="0.25">
      <c r="B2" s="32" t="s">
        <v>1</v>
      </c>
      <c r="C2" s="32"/>
    </row>
    <row r="4" spans="2:3" ht="57.75" customHeight="1" x14ac:dyDescent="0.25">
      <c r="B4" s="1" t="s">
        <v>2</v>
      </c>
      <c r="C4" s="2" t="s">
        <v>3</v>
      </c>
    </row>
    <row r="6" spans="2:3" ht="120" customHeight="1" x14ac:dyDescent="0.25">
      <c r="B6" s="1" t="s">
        <v>4</v>
      </c>
      <c r="C6" s="2" t="s">
        <v>5</v>
      </c>
    </row>
    <row r="8" spans="2:3" ht="15.75" x14ac:dyDescent="0.25">
      <c r="B8" s="3" t="s">
        <v>6</v>
      </c>
    </row>
    <row r="9" spans="2:3" x14ac:dyDescent="0.25">
      <c r="B9" s="4" t="s">
        <v>7</v>
      </c>
      <c r="C9" s="4" t="s">
        <v>8</v>
      </c>
    </row>
    <row r="10" spans="2:3" ht="42" customHeight="1" x14ac:dyDescent="0.25">
      <c r="B10" s="5" t="s">
        <v>9</v>
      </c>
      <c r="C10" s="6" t="s">
        <v>10</v>
      </c>
    </row>
    <row r="11" spans="2:3" ht="42" customHeight="1" x14ac:dyDescent="0.25">
      <c r="B11" s="5" t="s">
        <v>11</v>
      </c>
      <c r="C11" s="6" t="s">
        <v>12</v>
      </c>
    </row>
    <row r="12" spans="2:3" ht="42" customHeight="1" x14ac:dyDescent="0.25">
      <c r="B12" s="5" t="s">
        <v>13</v>
      </c>
      <c r="C12" s="6" t="s">
        <v>14</v>
      </c>
    </row>
    <row r="13" spans="2:3" ht="42" customHeight="1" x14ac:dyDescent="0.25">
      <c r="B13" s="5" t="s">
        <v>15</v>
      </c>
      <c r="C13" s="6" t="s">
        <v>16</v>
      </c>
    </row>
    <row r="15" spans="2:3" ht="15.75" x14ac:dyDescent="0.25">
      <c r="B15" s="3" t="s">
        <v>17</v>
      </c>
    </row>
    <row r="16" spans="2:3" x14ac:dyDescent="0.25">
      <c r="B16" s="4" t="s">
        <v>18</v>
      </c>
      <c r="C16" s="4" t="s">
        <v>19</v>
      </c>
    </row>
    <row r="17" spans="2:3" ht="45.75" customHeight="1" x14ac:dyDescent="0.25">
      <c r="B17" s="7" t="s">
        <v>20</v>
      </c>
      <c r="C17" s="6" t="s">
        <v>21</v>
      </c>
    </row>
    <row r="18" spans="2:3" ht="45.75" customHeight="1" x14ac:dyDescent="0.25">
      <c r="B18" s="8" t="s">
        <v>22</v>
      </c>
      <c r="C18" s="6" t="s">
        <v>23</v>
      </c>
    </row>
    <row r="19" spans="2:3" ht="45.75" customHeight="1" x14ac:dyDescent="0.25">
      <c r="B19" s="9" t="s">
        <v>24</v>
      </c>
      <c r="C19" s="6" t="s">
        <v>25</v>
      </c>
    </row>
    <row r="20" spans="2:3" ht="45.75" customHeight="1" x14ac:dyDescent="0.25">
      <c r="B20" s="10" t="s">
        <v>26</v>
      </c>
      <c r="C20" s="6" t="s">
        <v>27</v>
      </c>
    </row>
    <row r="22" spans="2:3" ht="57.75" customHeight="1" x14ac:dyDescent="0.25">
      <c r="B22" s="1" t="s">
        <v>28</v>
      </c>
      <c r="C22" s="2" t="s">
        <v>29</v>
      </c>
    </row>
    <row r="24" spans="2:3" ht="43.5" customHeight="1" x14ac:dyDescent="0.25">
      <c r="B24" s="1" t="s">
        <v>30</v>
      </c>
      <c r="C24" s="2" t="s">
        <v>31</v>
      </c>
    </row>
  </sheetData>
  <mergeCells count="2">
    <mergeCell ref="B1:C1"/>
    <mergeCell ref="B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5"/>
  <sheetViews>
    <sheetView showGridLines="0" tabSelected="1" zoomScaleNormal="100" workbookViewId="0">
      <pane ySplit="5" topLeftCell="A6" activePane="bottomLeft" state="frozen"/>
      <selection pane="bottomLeft" activeCell="P11" sqref="P11"/>
    </sheetView>
  </sheetViews>
  <sheetFormatPr defaultColWidth="8.7109375" defaultRowHeight="15" x14ac:dyDescent="0.25"/>
  <cols>
    <col min="1" max="1" width="30" customWidth="1"/>
    <col min="2" max="2" width="22" customWidth="1"/>
    <col min="3" max="3" width="28" customWidth="1"/>
    <col min="4" max="4" width="11" customWidth="1"/>
    <col min="5" max="5" width="14.42578125" bestFit="1" customWidth="1"/>
    <col min="6" max="6" width="11" customWidth="1"/>
    <col min="7" max="7" width="13.85546875" bestFit="1" customWidth="1"/>
    <col min="8" max="8" width="7" customWidth="1"/>
    <col min="9" max="9" width="14" customWidth="1"/>
    <col min="10" max="10" width="55" customWidth="1"/>
  </cols>
  <sheetData>
    <row r="1" spans="1:10" ht="25.5" customHeight="1" x14ac:dyDescent="0.25">
      <c r="A1" s="33" t="s">
        <v>32</v>
      </c>
      <c r="B1" s="33"/>
      <c r="C1" s="33"/>
      <c r="D1" s="33"/>
      <c r="E1" s="33"/>
      <c r="F1" s="33"/>
      <c r="G1" s="33"/>
      <c r="H1" s="33"/>
      <c r="I1" s="33"/>
      <c r="J1" s="33"/>
    </row>
    <row r="2" spans="1:10" x14ac:dyDescent="0.25">
      <c r="A2" s="34" t="s">
        <v>33</v>
      </c>
      <c r="B2" s="34"/>
      <c r="C2" s="34"/>
      <c r="D2" s="34"/>
      <c r="E2" s="34"/>
      <c r="F2" s="34"/>
      <c r="G2" s="34"/>
      <c r="H2" s="34"/>
      <c r="I2" s="34"/>
      <c r="J2" s="34"/>
    </row>
    <row r="3" spans="1:10" ht="21.75" customHeight="1" x14ac:dyDescent="0.25">
      <c r="A3" s="11" t="s">
        <v>34</v>
      </c>
      <c r="B3" s="12" t="s">
        <v>35</v>
      </c>
      <c r="C3" s="13" t="s">
        <v>36</v>
      </c>
      <c r="D3" s="14" t="s">
        <v>37</v>
      </c>
      <c r="E3" s="15" t="s">
        <v>38</v>
      </c>
    </row>
    <row r="5" spans="1:10" ht="30" customHeight="1" x14ac:dyDescent="0.25">
      <c r="A5" s="4" t="s">
        <v>39</v>
      </c>
      <c r="B5" s="4" t="s">
        <v>40</v>
      </c>
      <c r="C5" s="4" t="s">
        <v>41</v>
      </c>
      <c r="D5" s="4" t="s">
        <v>9</v>
      </c>
      <c r="E5" s="4" t="s">
        <v>11</v>
      </c>
      <c r="F5" s="4" t="s">
        <v>13</v>
      </c>
      <c r="G5" s="4" t="s">
        <v>15</v>
      </c>
      <c r="H5" s="4" t="s">
        <v>42</v>
      </c>
      <c r="I5" s="4" t="s">
        <v>18</v>
      </c>
      <c r="J5" s="4" t="s">
        <v>43</v>
      </c>
    </row>
    <row r="6" spans="1:10" ht="33.75" customHeight="1" x14ac:dyDescent="0.25">
      <c r="A6" s="16" t="s">
        <v>44</v>
      </c>
      <c r="B6" s="16" t="s">
        <v>45</v>
      </c>
      <c r="C6" s="16" t="s">
        <v>46</v>
      </c>
      <c r="D6" s="17">
        <v>1</v>
      </c>
      <c r="E6" s="17">
        <v>2</v>
      </c>
      <c r="F6" s="17">
        <v>2</v>
      </c>
      <c r="G6" s="17">
        <v>1</v>
      </c>
      <c r="H6" s="18">
        <f t="shared" ref="H6:H35" si="0">IF(COUNT(D6:G6)=4,SUM(D6:G6),"")</f>
        <v>6</v>
      </c>
      <c r="I6" s="18" t="str">
        <f t="shared" ref="I6:I35" si="1">IF(COUNT(D6:G6)&lt;4,"",CHOOSE(MAX(IF(H6&lt;=6,1,IF(H6&lt;=10,2,IF(H6&lt;=13,3,4))),IF(AND(F6&gt;=3,E6&gt;=3),3,1),IF(AND(D6=4,G6&gt;=3),4,1)),"Clear","Complicated","Complex","Chaotic"))</f>
        <v>Clear</v>
      </c>
      <c r="J6" s="19" t="str">
        <f t="shared" ref="J6:J35" si="2">IF(I6="","",IF(I6="Clear","Foundation covers it. Confirm classification, vendor review, charter; add a reassessment trigger.",IF(I6="Complicated","Add expert controls: documentation, validation/bias testing, drift monitoring, named owner, human review gate.",IF(I6="Complex","Run a safe-to-fail probe: pilot teams, lightweight guideline, instrument behavior, short feedback loop.","Pre-decide authority: kill switch, named decision-maker, AI-specific IR playbook, preserve inputs and outputs."))))</f>
        <v>Foundation covers it. Confirm classification, vendor review, charter; add a reassessment trigger.</v>
      </c>
    </row>
    <row r="7" spans="1:10" ht="33.75" customHeight="1" x14ac:dyDescent="0.25">
      <c r="A7" s="16" t="s">
        <v>47</v>
      </c>
      <c r="B7" s="16" t="s">
        <v>48</v>
      </c>
      <c r="C7" s="16" t="s">
        <v>49</v>
      </c>
      <c r="D7" s="17">
        <v>2</v>
      </c>
      <c r="E7" s="17">
        <v>2</v>
      </c>
      <c r="F7" s="17">
        <v>3</v>
      </c>
      <c r="G7" s="17">
        <v>2</v>
      </c>
      <c r="H7" s="18">
        <f t="shared" si="0"/>
        <v>9</v>
      </c>
      <c r="I7" s="18" t="str">
        <f t="shared" si="1"/>
        <v>Complicated</v>
      </c>
      <c r="J7" s="19" t="str">
        <f t="shared" si="2"/>
        <v>Add expert controls: documentation, validation/bias testing, drift monitoring, named owner, human review gate.</v>
      </c>
    </row>
    <row r="8" spans="1:10" ht="33.75" customHeight="1" x14ac:dyDescent="0.25">
      <c r="A8" s="16" t="s">
        <v>50</v>
      </c>
      <c r="B8" s="16" t="s">
        <v>45</v>
      </c>
      <c r="C8" s="16" t="s">
        <v>51</v>
      </c>
      <c r="D8" s="17">
        <v>3</v>
      </c>
      <c r="E8" s="17">
        <v>3</v>
      </c>
      <c r="F8" s="17">
        <v>3</v>
      </c>
      <c r="G8" s="17">
        <v>3</v>
      </c>
      <c r="H8" s="18">
        <f t="shared" si="0"/>
        <v>12</v>
      </c>
      <c r="I8" s="18" t="str">
        <f t="shared" si="1"/>
        <v>Complex</v>
      </c>
      <c r="J8" s="19" t="str">
        <f t="shared" si="2"/>
        <v>Run a safe-to-fail probe: pilot teams, lightweight guideline, instrument behavior, short feedback loop.</v>
      </c>
    </row>
    <row r="9" spans="1:10" ht="33.75" customHeight="1" x14ac:dyDescent="0.25">
      <c r="A9" s="16" t="s">
        <v>52</v>
      </c>
      <c r="B9" s="16" t="s">
        <v>48</v>
      </c>
      <c r="C9" s="16" t="s">
        <v>49</v>
      </c>
      <c r="D9" s="17">
        <v>4</v>
      </c>
      <c r="E9" s="17">
        <v>4</v>
      </c>
      <c r="F9" s="17">
        <v>4</v>
      </c>
      <c r="G9" s="17">
        <v>4</v>
      </c>
      <c r="H9" s="18">
        <f t="shared" si="0"/>
        <v>16</v>
      </c>
      <c r="I9" s="18" t="str">
        <f t="shared" si="1"/>
        <v>Chaotic</v>
      </c>
      <c r="J9" s="19" t="str">
        <f t="shared" si="2"/>
        <v>Pre-decide authority: kill switch, named decision-maker, AI-specific IR playbook, preserve inputs and outputs.</v>
      </c>
    </row>
    <row r="10" spans="1:10" ht="33.75" customHeight="1" x14ac:dyDescent="0.25">
      <c r="A10" s="16" t="s">
        <v>53</v>
      </c>
      <c r="B10" s="16" t="s">
        <v>54</v>
      </c>
      <c r="C10" s="16" t="s">
        <v>55</v>
      </c>
      <c r="D10" s="17">
        <v>1</v>
      </c>
      <c r="E10" s="17">
        <v>2</v>
      </c>
      <c r="F10" s="17">
        <v>3</v>
      </c>
      <c r="G10" s="17">
        <v>1</v>
      </c>
      <c r="H10" s="18">
        <f t="shared" si="0"/>
        <v>7</v>
      </c>
      <c r="I10" s="18" t="str">
        <f t="shared" si="1"/>
        <v>Complicated</v>
      </c>
      <c r="J10" s="19" t="str">
        <f t="shared" si="2"/>
        <v>Add expert controls: documentation, validation/bias testing, drift monitoring, named owner, human review gate.</v>
      </c>
    </row>
    <row r="11" spans="1:10" ht="33.75" customHeight="1" x14ac:dyDescent="0.25">
      <c r="A11" s="16" t="s">
        <v>56</v>
      </c>
      <c r="B11" s="16" t="s">
        <v>54</v>
      </c>
      <c r="C11" s="16" t="s">
        <v>55</v>
      </c>
      <c r="D11" s="17">
        <v>3</v>
      </c>
      <c r="E11" s="17">
        <v>2</v>
      </c>
      <c r="F11" s="17">
        <v>3</v>
      </c>
      <c r="G11" s="17">
        <v>2</v>
      </c>
      <c r="H11" s="18">
        <f t="shared" si="0"/>
        <v>10</v>
      </c>
      <c r="I11" s="18" t="str">
        <f t="shared" si="1"/>
        <v>Complicated</v>
      </c>
      <c r="J11" s="19" t="str">
        <f t="shared" si="2"/>
        <v>Add expert controls: documentation, validation/bias testing, drift monitoring, named owner, human review gate.</v>
      </c>
    </row>
    <row r="12" spans="1:10" ht="33.75" customHeight="1" x14ac:dyDescent="0.25">
      <c r="A12" s="16" t="s">
        <v>57</v>
      </c>
      <c r="B12" s="16" t="s">
        <v>54</v>
      </c>
      <c r="C12" s="16" t="s">
        <v>58</v>
      </c>
      <c r="D12" s="17">
        <v>3</v>
      </c>
      <c r="E12" s="17">
        <v>3</v>
      </c>
      <c r="F12" s="17">
        <v>3</v>
      </c>
      <c r="G12" s="17">
        <v>2</v>
      </c>
      <c r="H12" s="18">
        <f t="shared" si="0"/>
        <v>11</v>
      </c>
      <c r="I12" s="18" t="str">
        <f t="shared" si="1"/>
        <v>Complex</v>
      </c>
      <c r="J12" s="19" t="str">
        <f t="shared" si="2"/>
        <v>Run a safe-to-fail probe: pilot teams, lightweight guideline, instrument behavior, short feedback loop.</v>
      </c>
    </row>
    <row r="13" spans="1:10" ht="33.75" customHeight="1" x14ac:dyDescent="0.25">
      <c r="A13" s="16" t="s">
        <v>59</v>
      </c>
      <c r="B13" s="16" t="s">
        <v>60</v>
      </c>
      <c r="C13" s="16" t="s">
        <v>61</v>
      </c>
      <c r="D13" s="17">
        <v>3</v>
      </c>
      <c r="E13" s="17">
        <v>2</v>
      </c>
      <c r="F13" s="17">
        <v>3</v>
      </c>
      <c r="G13" s="17">
        <v>2</v>
      </c>
      <c r="H13" s="18">
        <f t="shared" si="0"/>
        <v>10</v>
      </c>
      <c r="I13" s="18" t="str">
        <f t="shared" si="1"/>
        <v>Complicated</v>
      </c>
      <c r="J13" s="19" t="str">
        <f t="shared" si="2"/>
        <v>Add expert controls: documentation, validation/bias testing, drift monitoring, named owner, human review gate.</v>
      </c>
    </row>
    <row r="14" spans="1:10" ht="33.75" customHeight="1" x14ac:dyDescent="0.25">
      <c r="A14" s="16" t="s">
        <v>62</v>
      </c>
      <c r="B14" s="16" t="s">
        <v>63</v>
      </c>
      <c r="C14" s="16" t="s">
        <v>61</v>
      </c>
      <c r="D14" s="17">
        <v>2</v>
      </c>
      <c r="E14" s="17">
        <v>2</v>
      </c>
      <c r="F14" s="17">
        <v>3</v>
      </c>
      <c r="G14" s="17">
        <v>1</v>
      </c>
      <c r="H14" s="18">
        <f t="shared" si="0"/>
        <v>8</v>
      </c>
      <c r="I14" s="18" t="str">
        <f t="shared" si="1"/>
        <v>Complicated</v>
      </c>
      <c r="J14" s="19" t="str">
        <f t="shared" si="2"/>
        <v>Add expert controls: documentation, validation/bias testing, drift monitoring, named owner, human review gate.</v>
      </c>
    </row>
    <row r="15" spans="1:10" ht="33.75" customHeight="1" x14ac:dyDescent="0.25">
      <c r="A15" s="16" t="s">
        <v>64</v>
      </c>
      <c r="B15" s="16" t="s">
        <v>65</v>
      </c>
      <c r="C15" s="16" t="s">
        <v>66</v>
      </c>
      <c r="D15" s="17">
        <v>2</v>
      </c>
      <c r="E15" s="17">
        <v>2</v>
      </c>
      <c r="F15" s="17">
        <v>3</v>
      </c>
      <c r="G15" s="17">
        <v>2</v>
      </c>
      <c r="H15" s="18">
        <f t="shared" si="0"/>
        <v>9</v>
      </c>
      <c r="I15" s="18" t="str">
        <f t="shared" si="1"/>
        <v>Complicated</v>
      </c>
      <c r="J15" s="19" t="str">
        <f t="shared" si="2"/>
        <v>Add expert controls: documentation, validation/bias testing, drift monitoring, named owner, human review gate.</v>
      </c>
    </row>
    <row r="16" spans="1:10" ht="33.75" customHeight="1" x14ac:dyDescent="0.25">
      <c r="A16" s="16" t="s">
        <v>67</v>
      </c>
      <c r="B16" s="16" t="s">
        <v>68</v>
      </c>
      <c r="C16" s="16" t="s">
        <v>69</v>
      </c>
      <c r="D16" s="17">
        <v>1</v>
      </c>
      <c r="E16" s="17">
        <v>2</v>
      </c>
      <c r="F16" s="17">
        <v>3</v>
      </c>
      <c r="G16" s="17">
        <v>1</v>
      </c>
      <c r="H16" s="18">
        <f t="shared" si="0"/>
        <v>7</v>
      </c>
      <c r="I16" s="18" t="str">
        <f t="shared" si="1"/>
        <v>Complicated</v>
      </c>
      <c r="J16" s="19" t="str">
        <f t="shared" si="2"/>
        <v>Add expert controls: documentation, validation/bias testing, drift monitoring, named owner, human review gate.</v>
      </c>
    </row>
    <row r="17" spans="1:10" ht="33.75" customHeight="1" x14ac:dyDescent="0.25">
      <c r="A17" s="16" t="s">
        <v>70</v>
      </c>
      <c r="B17" s="16" t="s">
        <v>71</v>
      </c>
      <c r="C17" s="16" t="s">
        <v>61</v>
      </c>
      <c r="D17" s="17">
        <v>2</v>
      </c>
      <c r="E17" s="17">
        <v>2</v>
      </c>
      <c r="F17" s="17">
        <v>3</v>
      </c>
      <c r="G17" s="17">
        <v>1</v>
      </c>
      <c r="H17" s="18">
        <f t="shared" si="0"/>
        <v>8</v>
      </c>
      <c r="I17" s="18" t="str">
        <f t="shared" si="1"/>
        <v>Complicated</v>
      </c>
      <c r="J17" s="19" t="str">
        <f t="shared" si="2"/>
        <v>Add expert controls: documentation, validation/bias testing, drift monitoring, named owner, human review gate.</v>
      </c>
    </row>
    <row r="18" spans="1:10" ht="33.75" customHeight="1" x14ac:dyDescent="0.25">
      <c r="A18" s="16"/>
      <c r="B18" s="16"/>
      <c r="C18" s="16"/>
      <c r="D18" s="17"/>
      <c r="E18" s="17"/>
      <c r="F18" s="17"/>
      <c r="G18" s="17"/>
      <c r="H18" s="18" t="str">
        <f t="shared" si="0"/>
        <v/>
      </c>
      <c r="I18" s="18" t="str">
        <f t="shared" si="1"/>
        <v/>
      </c>
      <c r="J18" s="19" t="str">
        <f t="shared" si="2"/>
        <v/>
      </c>
    </row>
    <row r="19" spans="1:10" ht="33.75" customHeight="1" x14ac:dyDescent="0.25">
      <c r="A19" s="16"/>
      <c r="B19" s="16"/>
      <c r="C19" s="16"/>
      <c r="D19" s="17"/>
      <c r="E19" s="17"/>
      <c r="F19" s="17"/>
      <c r="G19" s="17"/>
      <c r="H19" s="18" t="str">
        <f t="shared" si="0"/>
        <v/>
      </c>
      <c r="I19" s="18" t="str">
        <f t="shared" si="1"/>
        <v/>
      </c>
      <c r="J19" s="19" t="str">
        <f t="shared" si="2"/>
        <v/>
      </c>
    </row>
    <row r="20" spans="1:10" ht="33.75" customHeight="1" x14ac:dyDescent="0.25">
      <c r="A20" s="16"/>
      <c r="B20" s="16"/>
      <c r="C20" s="16"/>
      <c r="D20" s="17"/>
      <c r="E20" s="17"/>
      <c r="F20" s="17"/>
      <c r="G20" s="17"/>
      <c r="H20" s="18" t="str">
        <f t="shared" si="0"/>
        <v/>
      </c>
      <c r="I20" s="18" t="str">
        <f t="shared" si="1"/>
        <v/>
      </c>
      <c r="J20" s="19" t="str">
        <f t="shared" si="2"/>
        <v/>
      </c>
    </row>
    <row r="21" spans="1:10" ht="33.75" customHeight="1" x14ac:dyDescent="0.25">
      <c r="A21" s="16"/>
      <c r="B21" s="16"/>
      <c r="C21" s="16"/>
      <c r="D21" s="17"/>
      <c r="E21" s="17"/>
      <c r="F21" s="17"/>
      <c r="G21" s="17"/>
      <c r="H21" s="18" t="str">
        <f t="shared" si="0"/>
        <v/>
      </c>
      <c r="I21" s="18" t="str">
        <f t="shared" si="1"/>
        <v/>
      </c>
      <c r="J21" s="19" t="str">
        <f t="shared" si="2"/>
        <v/>
      </c>
    </row>
    <row r="22" spans="1:10" ht="33.75" customHeight="1" x14ac:dyDescent="0.25">
      <c r="A22" s="16"/>
      <c r="B22" s="16"/>
      <c r="C22" s="16"/>
      <c r="D22" s="17"/>
      <c r="E22" s="17"/>
      <c r="F22" s="17"/>
      <c r="G22" s="17"/>
      <c r="H22" s="18" t="str">
        <f t="shared" si="0"/>
        <v/>
      </c>
      <c r="I22" s="18" t="str">
        <f t="shared" si="1"/>
        <v/>
      </c>
      <c r="J22" s="19" t="str">
        <f t="shared" si="2"/>
        <v/>
      </c>
    </row>
    <row r="23" spans="1:10" ht="33.75" customHeight="1" x14ac:dyDescent="0.25">
      <c r="A23" s="16"/>
      <c r="B23" s="16"/>
      <c r="C23" s="16"/>
      <c r="D23" s="17"/>
      <c r="E23" s="17"/>
      <c r="F23" s="17"/>
      <c r="G23" s="17"/>
      <c r="H23" s="18" t="str">
        <f t="shared" si="0"/>
        <v/>
      </c>
      <c r="I23" s="18" t="str">
        <f t="shared" si="1"/>
        <v/>
      </c>
      <c r="J23" s="19" t="str">
        <f t="shared" si="2"/>
        <v/>
      </c>
    </row>
    <row r="24" spans="1:10" ht="33.75" customHeight="1" x14ac:dyDescent="0.25">
      <c r="A24" s="16"/>
      <c r="B24" s="16"/>
      <c r="C24" s="16"/>
      <c r="D24" s="17"/>
      <c r="E24" s="17"/>
      <c r="F24" s="17"/>
      <c r="G24" s="17"/>
      <c r="H24" s="18" t="str">
        <f t="shared" si="0"/>
        <v/>
      </c>
      <c r="I24" s="18" t="str">
        <f t="shared" si="1"/>
        <v/>
      </c>
      <c r="J24" s="19" t="str">
        <f t="shared" si="2"/>
        <v/>
      </c>
    </row>
    <row r="25" spans="1:10" ht="33.75" customHeight="1" x14ac:dyDescent="0.25">
      <c r="A25" s="16"/>
      <c r="B25" s="16"/>
      <c r="C25" s="16"/>
      <c r="D25" s="17"/>
      <c r="E25" s="17"/>
      <c r="F25" s="17"/>
      <c r="G25" s="17"/>
      <c r="H25" s="18" t="str">
        <f t="shared" si="0"/>
        <v/>
      </c>
      <c r="I25" s="18" t="str">
        <f t="shared" si="1"/>
        <v/>
      </c>
      <c r="J25" s="19" t="str">
        <f t="shared" si="2"/>
        <v/>
      </c>
    </row>
    <row r="26" spans="1:10" ht="33.75" customHeight="1" x14ac:dyDescent="0.25">
      <c r="A26" s="16"/>
      <c r="B26" s="16"/>
      <c r="C26" s="16"/>
      <c r="D26" s="17"/>
      <c r="E26" s="17"/>
      <c r="F26" s="17"/>
      <c r="G26" s="17"/>
      <c r="H26" s="18" t="str">
        <f t="shared" si="0"/>
        <v/>
      </c>
      <c r="I26" s="18" t="str">
        <f t="shared" si="1"/>
        <v/>
      </c>
      <c r="J26" s="19" t="str">
        <f t="shared" si="2"/>
        <v/>
      </c>
    </row>
    <row r="27" spans="1:10" ht="33.75" customHeight="1" x14ac:dyDescent="0.25">
      <c r="A27" s="16"/>
      <c r="B27" s="16"/>
      <c r="C27" s="16"/>
      <c r="D27" s="17"/>
      <c r="E27" s="17"/>
      <c r="F27" s="17"/>
      <c r="G27" s="17"/>
      <c r="H27" s="18" t="str">
        <f t="shared" si="0"/>
        <v/>
      </c>
      <c r="I27" s="18" t="str">
        <f t="shared" si="1"/>
        <v/>
      </c>
      <c r="J27" s="19" t="str">
        <f t="shared" si="2"/>
        <v/>
      </c>
    </row>
    <row r="28" spans="1:10" ht="33.75" customHeight="1" x14ac:dyDescent="0.25">
      <c r="A28" s="16"/>
      <c r="B28" s="16"/>
      <c r="C28" s="16"/>
      <c r="D28" s="17"/>
      <c r="E28" s="17"/>
      <c r="F28" s="17"/>
      <c r="G28" s="17"/>
      <c r="H28" s="18" t="str">
        <f t="shared" si="0"/>
        <v/>
      </c>
      <c r="I28" s="18" t="str">
        <f t="shared" si="1"/>
        <v/>
      </c>
      <c r="J28" s="19" t="str">
        <f t="shared" si="2"/>
        <v/>
      </c>
    </row>
    <row r="29" spans="1:10" ht="33.75" customHeight="1" x14ac:dyDescent="0.25">
      <c r="A29" s="16"/>
      <c r="B29" s="16"/>
      <c r="C29" s="16"/>
      <c r="D29" s="17"/>
      <c r="E29" s="17"/>
      <c r="F29" s="17"/>
      <c r="G29" s="17"/>
      <c r="H29" s="18" t="str">
        <f t="shared" si="0"/>
        <v/>
      </c>
      <c r="I29" s="18" t="str">
        <f t="shared" si="1"/>
        <v/>
      </c>
      <c r="J29" s="19" t="str">
        <f t="shared" si="2"/>
        <v/>
      </c>
    </row>
    <row r="30" spans="1:10" ht="33.75" customHeight="1" x14ac:dyDescent="0.25">
      <c r="A30" s="16"/>
      <c r="B30" s="16"/>
      <c r="C30" s="16"/>
      <c r="D30" s="17"/>
      <c r="E30" s="17"/>
      <c r="F30" s="17"/>
      <c r="G30" s="17"/>
      <c r="H30" s="18" t="str">
        <f t="shared" si="0"/>
        <v/>
      </c>
      <c r="I30" s="18" t="str">
        <f t="shared" si="1"/>
        <v/>
      </c>
      <c r="J30" s="19" t="str">
        <f t="shared" si="2"/>
        <v/>
      </c>
    </row>
    <row r="31" spans="1:10" ht="33.75" customHeight="1" x14ac:dyDescent="0.25">
      <c r="A31" s="16"/>
      <c r="B31" s="16"/>
      <c r="C31" s="16"/>
      <c r="D31" s="17"/>
      <c r="E31" s="17"/>
      <c r="F31" s="17"/>
      <c r="G31" s="17"/>
      <c r="H31" s="18" t="str">
        <f t="shared" si="0"/>
        <v/>
      </c>
      <c r="I31" s="18" t="str">
        <f t="shared" si="1"/>
        <v/>
      </c>
      <c r="J31" s="19" t="str">
        <f t="shared" si="2"/>
        <v/>
      </c>
    </row>
    <row r="32" spans="1:10" ht="33.75" customHeight="1" x14ac:dyDescent="0.25">
      <c r="A32" s="16"/>
      <c r="B32" s="16"/>
      <c r="C32" s="16"/>
      <c r="D32" s="17"/>
      <c r="E32" s="17"/>
      <c r="F32" s="17"/>
      <c r="G32" s="17"/>
      <c r="H32" s="18" t="str">
        <f t="shared" si="0"/>
        <v/>
      </c>
      <c r="I32" s="18" t="str">
        <f t="shared" si="1"/>
        <v/>
      </c>
      <c r="J32" s="19" t="str">
        <f t="shared" si="2"/>
        <v/>
      </c>
    </row>
    <row r="33" spans="1:10" ht="33.75" customHeight="1" x14ac:dyDescent="0.25">
      <c r="A33" s="16"/>
      <c r="B33" s="16"/>
      <c r="C33" s="16"/>
      <c r="D33" s="17"/>
      <c r="E33" s="17"/>
      <c r="F33" s="17"/>
      <c r="G33" s="17"/>
      <c r="H33" s="18" t="str">
        <f t="shared" si="0"/>
        <v/>
      </c>
      <c r="I33" s="18" t="str">
        <f t="shared" si="1"/>
        <v/>
      </c>
      <c r="J33" s="19" t="str">
        <f t="shared" si="2"/>
        <v/>
      </c>
    </row>
    <row r="34" spans="1:10" ht="33.75" customHeight="1" x14ac:dyDescent="0.25">
      <c r="A34" s="16"/>
      <c r="B34" s="16"/>
      <c r="C34" s="16"/>
      <c r="D34" s="17"/>
      <c r="E34" s="17"/>
      <c r="F34" s="17"/>
      <c r="G34" s="17"/>
      <c r="H34" s="18" t="str">
        <f t="shared" si="0"/>
        <v/>
      </c>
      <c r="I34" s="18" t="str">
        <f t="shared" si="1"/>
        <v/>
      </c>
      <c r="J34" s="19" t="str">
        <f t="shared" si="2"/>
        <v/>
      </c>
    </row>
    <row r="35" spans="1:10" ht="33.75" customHeight="1" x14ac:dyDescent="0.25">
      <c r="A35" s="16"/>
      <c r="B35" s="16"/>
      <c r="C35" s="16"/>
      <c r="D35" s="17"/>
      <c r="E35" s="17"/>
      <c r="F35" s="17"/>
      <c r="G35" s="17"/>
      <c r="H35" s="18" t="str">
        <f t="shared" si="0"/>
        <v/>
      </c>
      <c r="I35" s="18" t="str">
        <f t="shared" si="1"/>
        <v/>
      </c>
      <c r="J35" s="19" t="str">
        <f t="shared" si="2"/>
        <v/>
      </c>
    </row>
  </sheetData>
  <mergeCells count="2">
    <mergeCell ref="A1:J1"/>
    <mergeCell ref="A2:J2"/>
  </mergeCells>
  <conditionalFormatting sqref="D6:G35">
    <cfRule type="colorScale" priority="2">
      <colorScale>
        <cfvo type="num" val="1"/>
        <cfvo type="num" val="2.5"/>
        <cfvo type="num" val="4"/>
        <color rgb="FFC6E0B4"/>
        <color rgb="FFFFE699"/>
        <color rgb="FFF4B0A6"/>
      </colorScale>
    </cfRule>
  </conditionalFormatting>
  <conditionalFormatting sqref="I6:I35">
    <cfRule type="expression" dxfId="7" priority="3">
      <formula>EXACT(I6,"Clear")</formula>
    </cfRule>
    <cfRule type="expression" dxfId="6" priority="4">
      <formula>EXACT(I6,"Complicated")</formula>
    </cfRule>
    <cfRule type="expression" dxfId="5" priority="5">
      <formula>EXACT(I6,"Complex")</formula>
    </cfRule>
    <cfRule type="expression" dxfId="4" priority="6">
      <formula>EXACT(I6,"Chaotic")</formula>
    </cfRule>
  </conditionalFormatting>
  <dataValidations disablePrompts="1" count="1">
    <dataValidation type="whole" allowBlank="1" showErrorMessage="1" errorTitle="Score 1 to 4" error="Enter a whole number from 1 (ordered) to 4 (unordered)." sqref="D6:G35" xr:uid="{00000000-0002-0000-0100-000000000000}">
      <formula1>1</formula1>
      <formula2>4</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
  <sheetViews>
    <sheetView showGridLines="0" zoomScaleNormal="100" workbookViewId="0">
      <pane ySplit="5" topLeftCell="A6" activePane="bottomLeft" state="frozen"/>
      <selection pane="bottomLeft"/>
    </sheetView>
  </sheetViews>
  <sheetFormatPr defaultColWidth="8.7109375" defaultRowHeight="15" x14ac:dyDescent="0.25"/>
  <cols>
    <col min="1" max="1" width="30" customWidth="1"/>
    <col min="2" max="2" width="22" customWidth="1"/>
    <col min="3" max="3" width="18" customWidth="1"/>
    <col min="4" max="4" width="24" customWidth="1"/>
    <col min="5" max="5" width="20" customWidth="1"/>
    <col min="6" max="6" width="22" customWidth="1"/>
    <col min="7" max="7" width="14" customWidth="1"/>
    <col min="8" max="8" width="30" customWidth="1"/>
  </cols>
  <sheetData>
    <row r="1" spans="1:8" ht="25.5" customHeight="1" x14ac:dyDescent="0.25">
      <c r="A1" s="33" t="s">
        <v>72</v>
      </c>
      <c r="B1" s="33"/>
      <c r="C1" s="33"/>
      <c r="D1" s="33"/>
      <c r="E1" s="33"/>
      <c r="F1" s="33"/>
      <c r="G1" s="33"/>
      <c r="H1" s="33"/>
    </row>
    <row r="2" spans="1:8" x14ac:dyDescent="0.25">
      <c r="A2" s="34" t="s">
        <v>73</v>
      </c>
      <c r="B2" s="34"/>
      <c r="C2" s="34"/>
      <c r="D2" s="34"/>
      <c r="E2" s="34"/>
      <c r="F2" s="34"/>
      <c r="G2" s="34"/>
      <c r="H2" s="34"/>
    </row>
    <row r="3" spans="1:8" ht="21.75" customHeight="1" x14ac:dyDescent="0.25">
      <c r="A3" s="11" t="s">
        <v>74</v>
      </c>
      <c r="B3" s="12" t="s">
        <v>75</v>
      </c>
      <c r="C3" s="13" t="s">
        <v>48</v>
      </c>
      <c r="D3" s="14" t="s">
        <v>76</v>
      </c>
      <c r="E3" s="15" t="s">
        <v>77</v>
      </c>
    </row>
    <row r="5" spans="1:8" ht="30" customHeight="1" x14ac:dyDescent="0.25">
      <c r="A5" s="4" t="s">
        <v>39</v>
      </c>
      <c r="B5" s="4" t="s">
        <v>78</v>
      </c>
      <c r="C5" s="4" t="s">
        <v>79</v>
      </c>
      <c r="D5" s="4" t="s">
        <v>80</v>
      </c>
      <c r="E5" s="4" t="s">
        <v>81</v>
      </c>
      <c r="F5" s="4" t="s">
        <v>82</v>
      </c>
      <c r="G5" s="4" t="s">
        <v>83</v>
      </c>
      <c r="H5" s="4" t="s">
        <v>84</v>
      </c>
    </row>
    <row r="6" spans="1:8" ht="27.75" customHeight="1" x14ac:dyDescent="0.25">
      <c r="A6" s="16" t="s">
        <v>44</v>
      </c>
      <c r="B6" s="16" t="s">
        <v>85</v>
      </c>
      <c r="C6" s="16" t="s">
        <v>86</v>
      </c>
      <c r="D6" s="16" t="s">
        <v>87</v>
      </c>
      <c r="E6" s="16" t="s">
        <v>48</v>
      </c>
      <c r="F6" s="16" t="s">
        <v>88</v>
      </c>
      <c r="G6" s="16" t="s">
        <v>89</v>
      </c>
      <c r="H6" s="16" t="s">
        <v>90</v>
      </c>
    </row>
    <row r="7" spans="1:8" ht="27.75" customHeight="1" x14ac:dyDescent="0.25">
      <c r="A7" s="16" t="s">
        <v>47</v>
      </c>
      <c r="B7" s="16" t="s">
        <v>91</v>
      </c>
      <c r="C7" s="16" t="s">
        <v>92</v>
      </c>
      <c r="D7" s="16" t="s">
        <v>93</v>
      </c>
      <c r="E7" s="16" t="s">
        <v>76</v>
      </c>
      <c r="F7" s="16" t="s">
        <v>94</v>
      </c>
      <c r="G7" s="16" t="s">
        <v>89</v>
      </c>
      <c r="H7" s="16" t="s">
        <v>95</v>
      </c>
    </row>
    <row r="8" spans="1:8" ht="27.75" customHeight="1" x14ac:dyDescent="0.25">
      <c r="A8" s="16" t="s">
        <v>50</v>
      </c>
      <c r="B8" s="16" t="s">
        <v>96</v>
      </c>
      <c r="C8" s="16" t="s">
        <v>86</v>
      </c>
      <c r="D8" s="16" t="s">
        <v>97</v>
      </c>
      <c r="E8" s="16" t="s">
        <v>48</v>
      </c>
      <c r="F8" s="16" t="s">
        <v>98</v>
      </c>
      <c r="G8" s="16" t="s">
        <v>89</v>
      </c>
      <c r="H8" s="16" t="s">
        <v>99</v>
      </c>
    </row>
    <row r="9" spans="1:8" ht="27.75" customHeight="1" x14ac:dyDescent="0.25">
      <c r="A9" s="16" t="s">
        <v>52</v>
      </c>
      <c r="B9" s="16" t="s">
        <v>100</v>
      </c>
      <c r="C9" s="16" t="s">
        <v>101</v>
      </c>
      <c r="D9" s="16" t="s">
        <v>102</v>
      </c>
      <c r="E9" s="16" t="s">
        <v>76</v>
      </c>
      <c r="F9" s="16" t="s">
        <v>103</v>
      </c>
      <c r="G9" s="16" t="s">
        <v>89</v>
      </c>
      <c r="H9" s="16" t="s">
        <v>104</v>
      </c>
    </row>
    <row r="10" spans="1:8" ht="27.75" customHeight="1" x14ac:dyDescent="0.25">
      <c r="A10" s="16" t="s">
        <v>53</v>
      </c>
      <c r="B10" s="16" t="s">
        <v>105</v>
      </c>
      <c r="C10" s="16" t="s">
        <v>106</v>
      </c>
      <c r="D10" s="16" t="s">
        <v>107</v>
      </c>
      <c r="E10" s="16" t="s">
        <v>48</v>
      </c>
      <c r="F10" s="16" t="s">
        <v>108</v>
      </c>
      <c r="G10" s="16" t="s">
        <v>89</v>
      </c>
      <c r="H10" s="16" t="s">
        <v>109</v>
      </c>
    </row>
    <row r="11" spans="1:8" ht="27.75" customHeight="1" x14ac:dyDescent="0.25">
      <c r="A11" s="16" t="s">
        <v>56</v>
      </c>
      <c r="B11" s="16" t="s">
        <v>110</v>
      </c>
      <c r="C11" s="16" t="s">
        <v>106</v>
      </c>
      <c r="D11" s="16" t="s">
        <v>111</v>
      </c>
      <c r="E11" s="16" t="s">
        <v>48</v>
      </c>
      <c r="F11" s="16" t="s">
        <v>108</v>
      </c>
      <c r="G11" s="16" t="s">
        <v>89</v>
      </c>
      <c r="H11" s="16" t="s">
        <v>112</v>
      </c>
    </row>
    <row r="12" spans="1:8" ht="27.75" customHeight="1" x14ac:dyDescent="0.25">
      <c r="A12" s="16" t="s">
        <v>57</v>
      </c>
      <c r="B12" s="16" t="s">
        <v>96</v>
      </c>
      <c r="C12" s="16" t="s">
        <v>106</v>
      </c>
      <c r="D12" s="16" t="s">
        <v>113</v>
      </c>
      <c r="E12" s="16" t="s">
        <v>48</v>
      </c>
      <c r="F12" s="16" t="s">
        <v>98</v>
      </c>
      <c r="G12" s="16" t="s">
        <v>89</v>
      </c>
      <c r="H12" s="16" t="s">
        <v>114</v>
      </c>
    </row>
    <row r="13" spans="1:8" ht="27.75" customHeight="1" x14ac:dyDescent="0.25">
      <c r="A13" s="16" t="s">
        <v>59</v>
      </c>
      <c r="B13" s="16" t="s">
        <v>115</v>
      </c>
      <c r="C13" s="16" t="s">
        <v>116</v>
      </c>
      <c r="D13" s="16" t="s">
        <v>117</v>
      </c>
      <c r="E13" s="16" t="s">
        <v>76</v>
      </c>
      <c r="F13" s="16" t="s">
        <v>118</v>
      </c>
      <c r="G13" s="16" t="s">
        <v>89</v>
      </c>
      <c r="H13" s="16" t="s">
        <v>119</v>
      </c>
    </row>
    <row r="14" spans="1:8" ht="27.75" customHeight="1" x14ac:dyDescent="0.25">
      <c r="A14" s="16" t="s">
        <v>62</v>
      </c>
      <c r="B14" s="16" t="s">
        <v>105</v>
      </c>
      <c r="C14" s="16" t="s">
        <v>120</v>
      </c>
      <c r="D14" s="16" t="s">
        <v>121</v>
      </c>
      <c r="E14" s="16" t="s">
        <v>48</v>
      </c>
      <c r="F14" s="16" t="s">
        <v>122</v>
      </c>
      <c r="G14" s="16" t="s">
        <v>89</v>
      </c>
      <c r="H14" s="16" t="s">
        <v>123</v>
      </c>
    </row>
    <row r="15" spans="1:8" ht="27.75" customHeight="1" x14ac:dyDescent="0.25">
      <c r="A15" s="16" t="s">
        <v>64</v>
      </c>
      <c r="B15" s="16" t="s">
        <v>96</v>
      </c>
      <c r="C15" s="16" t="s">
        <v>124</v>
      </c>
      <c r="D15" s="16" t="s">
        <v>125</v>
      </c>
      <c r="E15" s="16" t="s">
        <v>48</v>
      </c>
      <c r="F15" s="16" t="s">
        <v>98</v>
      </c>
      <c r="G15" s="16" t="s">
        <v>89</v>
      </c>
      <c r="H15" s="16" t="s">
        <v>126</v>
      </c>
    </row>
    <row r="16" spans="1:8" ht="27.75" customHeight="1" x14ac:dyDescent="0.25">
      <c r="A16" s="16" t="s">
        <v>67</v>
      </c>
      <c r="B16" s="16" t="s">
        <v>127</v>
      </c>
      <c r="C16" s="16" t="s">
        <v>128</v>
      </c>
      <c r="D16" s="16" t="s">
        <v>129</v>
      </c>
      <c r="E16" s="16" t="s">
        <v>48</v>
      </c>
      <c r="F16" s="16" t="s">
        <v>108</v>
      </c>
      <c r="G16" s="16" t="s">
        <v>89</v>
      </c>
      <c r="H16" s="16" t="s">
        <v>130</v>
      </c>
    </row>
    <row r="17" spans="1:8" ht="27.75" customHeight="1" x14ac:dyDescent="0.25">
      <c r="A17" s="16" t="s">
        <v>70</v>
      </c>
      <c r="B17" s="16" t="s">
        <v>105</v>
      </c>
      <c r="C17" s="16" t="s">
        <v>131</v>
      </c>
      <c r="D17" s="16" t="s">
        <v>132</v>
      </c>
      <c r="E17" s="16" t="s">
        <v>48</v>
      </c>
      <c r="F17" s="16" t="s">
        <v>133</v>
      </c>
      <c r="G17" s="16" t="s">
        <v>89</v>
      </c>
      <c r="H17" s="16" t="s">
        <v>134</v>
      </c>
    </row>
    <row r="18" spans="1:8" ht="27.75" customHeight="1" x14ac:dyDescent="0.25">
      <c r="A18" s="16"/>
      <c r="B18" s="16"/>
      <c r="C18" s="16"/>
      <c r="D18" s="16"/>
      <c r="E18" s="16"/>
      <c r="F18" s="16"/>
      <c r="G18" s="16"/>
      <c r="H18" s="16"/>
    </row>
    <row r="19" spans="1:8" ht="27.75" customHeight="1" x14ac:dyDescent="0.25">
      <c r="A19" s="16"/>
      <c r="B19" s="16"/>
      <c r="C19" s="16"/>
      <c r="D19" s="16"/>
      <c r="E19" s="16"/>
      <c r="F19" s="16"/>
      <c r="G19" s="16"/>
      <c r="H19" s="16"/>
    </row>
    <row r="20" spans="1:8" ht="27.75" customHeight="1" x14ac:dyDescent="0.25">
      <c r="A20" s="16"/>
      <c r="B20" s="16"/>
      <c r="C20" s="16"/>
      <c r="D20" s="16"/>
      <c r="E20" s="16"/>
      <c r="F20" s="16"/>
      <c r="G20" s="16"/>
      <c r="H20" s="16"/>
    </row>
    <row r="21" spans="1:8" ht="27.75" customHeight="1" x14ac:dyDescent="0.25">
      <c r="A21" s="16"/>
      <c r="B21" s="16"/>
      <c r="C21" s="16"/>
      <c r="D21" s="16"/>
      <c r="E21" s="16"/>
      <c r="F21" s="16"/>
      <c r="G21" s="16"/>
      <c r="H21" s="16"/>
    </row>
    <row r="22" spans="1:8" ht="27.75" customHeight="1" x14ac:dyDescent="0.25">
      <c r="A22" s="16"/>
      <c r="B22" s="16"/>
      <c r="C22" s="16"/>
      <c r="D22" s="16"/>
      <c r="E22" s="16"/>
      <c r="F22" s="16"/>
      <c r="G22" s="16"/>
      <c r="H22" s="16"/>
    </row>
    <row r="23" spans="1:8" ht="27.75" customHeight="1" x14ac:dyDescent="0.25">
      <c r="A23" s="16"/>
      <c r="B23" s="16"/>
      <c r="C23" s="16"/>
      <c r="D23" s="16"/>
      <c r="E23" s="16"/>
      <c r="F23" s="16"/>
      <c r="G23" s="16"/>
      <c r="H23" s="16"/>
    </row>
    <row r="24" spans="1:8" ht="27.75" customHeight="1" x14ac:dyDescent="0.25">
      <c r="A24" s="16"/>
      <c r="B24" s="16"/>
      <c r="C24" s="16"/>
      <c r="D24" s="16"/>
      <c r="E24" s="16"/>
      <c r="F24" s="16"/>
      <c r="G24" s="16"/>
      <c r="H24" s="16"/>
    </row>
    <row r="25" spans="1:8" ht="27.75" customHeight="1" x14ac:dyDescent="0.25">
      <c r="A25" s="16"/>
      <c r="B25" s="16"/>
      <c r="C25" s="16"/>
      <c r="D25" s="16"/>
      <c r="E25" s="16"/>
      <c r="F25" s="16"/>
      <c r="G25" s="16"/>
      <c r="H25" s="16"/>
    </row>
    <row r="26" spans="1:8" ht="27.75" customHeight="1" x14ac:dyDescent="0.25">
      <c r="A26" s="16"/>
      <c r="B26" s="16"/>
      <c r="C26" s="16"/>
      <c r="D26" s="16"/>
      <c r="E26" s="16"/>
      <c r="F26" s="16"/>
      <c r="G26" s="16"/>
      <c r="H26" s="16"/>
    </row>
    <row r="27" spans="1:8" ht="27.75" customHeight="1" x14ac:dyDescent="0.25">
      <c r="A27" s="16"/>
      <c r="B27" s="16"/>
      <c r="C27" s="16"/>
      <c r="D27" s="16"/>
      <c r="E27" s="16"/>
      <c r="F27" s="16"/>
      <c r="G27" s="16"/>
      <c r="H27" s="16"/>
    </row>
    <row r="28" spans="1:8" ht="27.75" customHeight="1" x14ac:dyDescent="0.25">
      <c r="A28" s="16"/>
      <c r="B28" s="16"/>
      <c r="C28" s="16"/>
      <c r="D28" s="16"/>
      <c r="E28" s="16"/>
      <c r="F28" s="16"/>
      <c r="G28" s="16"/>
      <c r="H28" s="16"/>
    </row>
    <row r="29" spans="1:8" ht="27.75" customHeight="1" x14ac:dyDescent="0.25">
      <c r="A29" s="16"/>
      <c r="B29" s="16"/>
      <c r="C29" s="16"/>
      <c r="D29" s="16"/>
      <c r="E29" s="16"/>
      <c r="F29" s="16"/>
      <c r="G29" s="16"/>
      <c r="H29" s="16"/>
    </row>
    <row r="30" spans="1:8" ht="27.75" customHeight="1" x14ac:dyDescent="0.25">
      <c r="A30" s="16"/>
      <c r="B30" s="16"/>
      <c r="C30" s="16"/>
      <c r="D30" s="16"/>
      <c r="E30" s="16"/>
      <c r="F30" s="16"/>
      <c r="G30" s="16"/>
      <c r="H30" s="16"/>
    </row>
    <row r="31" spans="1:8" ht="27.75" customHeight="1" x14ac:dyDescent="0.25">
      <c r="A31" s="16"/>
      <c r="B31" s="16"/>
      <c r="C31" s="16"/>
      <c r="D31" s="16"/>
      <c r="E31" s="16"/>
      <c r="F31" s="16"/>
      <c r="G31" s="16"/>
      <c r="H31" s="16"/>
    </row>
    <row r="32" spans="1:8" ht="27.75" customHeight="1" x14ac:dyDescent="0.25">
      <c r="A32" s="16"/>
      <c r="B32" s="16"/>
      <c r="C32" s="16"/>
      <c r="D32" s="16"/>
      <c r="E32" s="16"/>
      <c r="F32" s="16"/>
      <c r="G32" s="16"/>
      <c r="H32" s="16"/>
    </row>
    <row r="33" spans="1:8" ht="27.75" customHeight="1" x14ac:dyDescent="0.25">
      <c r="A33" s="16"/>
      <c r="B33" s="16"/>
      <c r="C33" s="16"/>
      <c r="D33" s="16"/>
      <c r="E33" s="16"/>
      <c r="F33" s="16"/>
      <c r="G33" s="16"/>
      <c r="H33" s="16"/>
    </row>
    <row r="34" spans="1:8" ht="27.75" customHeight="1" x14ac:dyDescent="0.25">
      <c r="A34" s="16"/>
      <c r="B34" s="16"/>
      <c r="C34" s="16"/>
      <c r="D34" s="16"/>
      <c r="E34" s="16"/>
      <c r="F34" s="16"/>
      <c r="G34" s="16"/>
      <c r="H34" s="16"/>
    </row>
    <row r="35" spans="1:8" ht="27.75" customHeight="1" x14ac:dyDescent="0.25">
      <c r="A35" s="16"/>
      <c r="B35" s="16"/>
      <c r="C35" s="16"/>
      <c r="D35" s="16"/>
      <c r="E35" s="16"/>
      <c r="F35" s="16"/>
      <c r="G35" s="16"/>
      <c r="H35" s="16"/>
    </row>
    <row r="36" spans="1:8" ht="27.75" customHeight="1" x14ac:dyDescent="0.25">
      <c r="A36" s="16"/>
      <c r="B36" s="16"/>
      <c r="C36" s="16"/>
      <c r="D36" s="16"/>
      <c r="E36" s="16"/>
      <c r="F36" s="16"/>
      <c r="G36" s="16"/>
      <c r="H36" s="16"/>
    </row>
    <row r="37" spans="1:8" ht="27.75" customHeight="1" x14ac:dyDescent="0.25">
      <c r="A37" s="16"/>
      <c r="B37" s="16"/>
      <c r="C37" s="16"/>
      <c r="D37" s="16"/>
      <c r="E37" s="16"/>
      <c r="F37" s="16"/>
      <c r="G37" s="16"/>
      <c r="H37" s="16"/>
    </row>
    <row r="38" spans="1:8" ht="27.75" customHeight="1" x14ac:dyDescent="0.25">
      <c r="A38" s="16"/>
      <c r="B38" s="16"/>
      <c r="C38" s="16"/>
      <c r="D38" s="16"/>
      <c r="E38" s="16"/>
      <c r="F38" s="16"/>
      <c r="G38" s="16"/>
      <c r="H38" s="16"/>
    </row>
    <row r="39" spans="1:8" ht="27.75" customHeight="1" x14ac:dyDescent="0.25">
      <c r="A39" s="16"/>
      <c r="B39" s="16"/>
      <c r="C39" s="16"/>
      <c r="D39" s="16"/>
      <c r="E39" s="16"/>
      <c r="F39" s="16"/>
      <c r="G39" s="16"/>
      <c r="H39" s="16"/>
    </row>
    <row r="40" spans="1:8" ht="27.75" customHeight="1" x14ac:dyDescent="0.25">
      <c r="A40" s="16"/>
      <c r="B40" s="16"/>
      <c r="C40" s="16"/>
      <c r="D40" s="16"/>
      <c r="E40" s="16"/>
      <c r="F40" s="16"/>
      <c r="G40" s="16"/>
      <c r="H40" s="16"/>
    </row>
    <row r="41" spans="1:8" ht="27.75" customHeight="1" x14ac:dyDescent="0.25">
      <c r="A41" s="16"/>
      <c r="B41" s="16"/>
      <c r="C41" s="16"/>
      <c r="D41" s="16"/>
      <c r="E41" s="16"/>
      <c r="F41" s="16"/>
      <c r="G41" s="16"/>
      <c r="H41" s="16"/>
    </row>
    <row r="42" spans="1:8" ht="27.75" customHeight="1" x14ac:dyDescent="0.25">
      <c r="A42" s="16"/>
      <c r="B42" s="16"/>
      <c r="C42" s="16"/>
      <c r="D42" s="16"/>
      <c r="E42" s="16"/>
      <c r="F42" s="16"/>
      <c r="G42" s="16"/>
      <c r="H42" s="16"/>
    </row>
    <row r="43" spans="1:8" ht="27.75" customHeight="1" x14ac:dyDescent="0.25">
      <c r="A43" s="16"/>
      <c r="B43" s="16"/>
      <c r="C43" s="16"/>
      <c r="D43" s="16"/>
      <c r="E43" s="16"/>
      <c r="F43" s="16"/>
      <c r="G43" s="16"/>
      <c r="H43" s="16"/>
    </row>
    <row r="44" spans="1:8" ht="27.75" customHeight="1" x14ac:dyDescent="0.25">
      <c r="A44" s="16"/>
      <c r="B44" s="16"/>
      <c r="C44" s="16"/>
      <c r="D44" s="16"/>
      <c r="E44" s="16"/>
      <c r="F44" s="16"/>
      <c r="G44" s="16"/>
      <c r="H44" s="16"/>
    </row>
    <row r="45" spans="1:8" ht="27.75" customHeight="1" x14ac:dyDescent="0.25">
      <c r="A45" s="16"/>
      <c r="B45" s="16"/>
      <c r="C45" s="16"/>
      <c r="D45" s="16"/>
      <c r="E45" s="16"/>
      <c r="F45" s="16"/>
      <c r="G45" s="16"/>
      <c r="H45" s="16"/>
    </row>
  </sheetData>
  <mergeCells count="2">
    <mergeCell ref="A1:H1"/>
    <mergeCell ref="A2:H2"/>
  </mergeCells>
  <conditionalFormatting sqref="E6:E45">
    <cfRule type="expression" dxfId="3" priority="2">
      <formula>EXACT(E6,"Public")</formula>
    </cfRule>
    <cfRule type="expression" dxfId="2" priority="3">
      <formula>EXACT(E6,"Internal")</formula>
    </cfRule>
    <cfRule type="expression" dxfId="1" priority="4">
      <formula>EXACT(E6,"Confidential")</formula>
    </cfRule>
    <cfRule type="expression" dxfId="0" priority="5">
      <formula>EXACT(E6,"Regulated (PHI/PII/PCI)")</formula>
    </cfRule>
  </conditionalFormatting>
  <dataValidations count="1">
    <dataValidation type="list" allowBlank="1" sqref="E6:E45" xr:uid="{00000000-0002-0000-0200-000001000000}">
      <formula1>"Public,Internal,Confidential,Regulated (PHI/PII/PCI)"</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'AI Registry'!$A$6:$A$35</xm:f>
          </x14:formula1>
          <x14:formula2>
            <xm:f>0</xm:f>
          </x14:formula2>
          <xm:sqref>A6:A45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8"/>
  <sheetViews>
    <sheetView showGridLines="0" zoomScaleNormal="100" workbookViewId="0"/>
  </sheetViews>
  <sheetFormatPr defaultColWidth="8.7109375" defaultRowHeight="15" x14ac:dyDescent="0.25"/>
  <cols>
    <col min="1" max="1" width="2" customWidth="1"/>
    <col min="2" max="2" width="22" customWidth="1"/>
    <col min="3" max="3" width="12" customWidth="1"/>
  </cols>
  <sheetData>
    <row r="1" spans="2:5" ht="25.5" customHeight="1" x14ac:dyDescent="0.25">
      <c r="B1" s="33" t="s">
        <v>135</v>
      </c>
      <c r="C1" s="33"/>
      <c r="D1" s="33"/>
      <c r="E1" s="33"/>
    </row>
    <row r="2" spans="2:5" x14ac:dyDescent="0.25">
      <c r="B2" s="34" t="s">
        <v>136</v>
      </c>
      <c r="C2" s="34"/>
      <c r="D2" s="34"/>
      <c r="E2" s="34"/>
    </row>
    <row r="4" spans="2:5" x14ac:dyDescent="0.25">
      <c r="B4" s="4" t="s">
        <v>18</v>
      </c>
      <c r="C4" s="4" t="s">
        <v>137</v>
      </c>
    </row>
    <row r="5" spans="2:5" x14ac:dyDescent="0.25">
      <c r="B5" s="20" t="s">
        <v>35</v>
      </c>
      <c r="C5" s="21">
        <f>COUNTIF('AI Registry'!$I$6:$I$35,B5)</f>
        <v>1</v>
      </c>
    </row>
    <row r="6" spans="2:5" x14ac:dyDescent="0.25">
      <c r="B6" s="22" t="s">
        <v>36</v>
      </c>
      <c r="C6" s="21">
        <f>COUNTIF('AI Registry'!$I$6:$I$35,B6)</f>
        <v>8</v>
      </c>
    </row>
    <row r="7" spans="2:5" x14ac:dyDescent="0.25">
      <c r="B7" s="23" t="s">
        <v>37</v>
      </c>
      <c r="C7" s="21">
        <f>COUNTIF('AI Registry'!$I$6:$I$35,B7)</f>
        <v>2</v>
      </c>
    </row>
    <row r="8" spans="2:5" x14ac:dyDescent="0.25">
      <c r="B8" s="24" t="s">
        <v>38</v>
      </c>
      <c r="C8" s="21">
        <f>COUNTIF('AI Registry'!$I$6:$I$35,B8)</f>
        <v>1</v>
      </c>
    </row>
  </sheetData>
  <mergeCells count="2">
    <mergeCell ref="B1:E1"/>
    <mergeCell ref="B2:E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42"/>
  <sheetViews>
    <sheetView showGridLines="0" zoomScaleNormal="100" workbookViewId="0"/>
  </sheetViews>
  <sheetFormatPr defaultColWidth="8.7109375" defaultRowHeight="15" x14ac:dyDescent="0.25"/>
  <cols>
    <col min="1" max="1" width="2" customWidth="1"/>
    <col min="2" max="2" width="22" customWidth="1"/>
    <col min="3" max="3" width="92" customWidth="1"/>
  </cols>
  <sheetData>
    <row r="1" spans="2:3" ht="25.5" customHeight="1" x14ac:dyDescent="0.25">
      <c r="B1" s="33" t="s">
        <v>138</v>
      </c>
      <c r="C1" s="33"/>
    </row>
    <row r="2" spans="2:3" x14ac:dyDescent="0.25">
      <c r="B2" s="34" t="s">
        <v>139</v>
      </c>
      <c r="C2" s="34"/>
    </row>
    <row r="4" spans="2:3" ht="21.75" customHeight="1" x14ac:dyDescent="0.25">
      <c r="B4" s="37" t="s">
        <v>140</v>
      </c>
      <c r="C4" s="37"/>
    </row>
    <row r="5" spans="2:3" ht="30" customHeight="1" x14ac:dyDescent="0.25">
      <c r="B5" s="25" t="s">
        <v>141</v>
      </c>
      <c r="C5" s="26" t="s">
        <v>142</v>
      </c>
    </row>
    <row r="6" spans="2:3" ht="30" customHeight="1" x14ac:dyDescent="0.25">
      <c r="B6" s="27" t="s">
        <v>143</v>
      </c>
      <c r="C6" s="28" t="s">
        <v>144</v>
      </c>
    </row>
    <row r="7" spans="2:3" ht="30" customHeight="1" x14ac:dyDescent="0.25">
      <c r="B7" s="27" t="s">
        <v>145</v>
      </c>
      <c r="C7" s="28" t="s">
        <v>146</v>
      </c>
    </row>
    <row r="8" spans="2:3" ht="30" customHeight="1" x14ac:dyDescent="0.25">
      <c r="B8" s="27" t="s">
        <v>147</v>
      </c>
      <c r="C8" s="28" t="s">
        <v>148</v>
      </c>
    </row>
    <row r="9" spans="2:3" ht="30" customHeight="1" x14ac:dyDescent="0.25">
      <c r="B9" s="27" t="s">
        <v>149</v>
      </c>
      <c r="C9" s="28" t="s">
        <v>150</v>
      </c>
    </row>
    <row r="10" spans="2:3" ht="30" customHeight="1" x14ac:dyDescent="0.25">
      <c r="B10" s="27" t="s">
        <v>151</v>
      </c>
      <c r="C10" s="28" t="s">
        <v>152</v>
      </c>
    </row>
    <row r="11" spans="2:3" ht="30" customHeight="1" x14ac:dyDescent="0.25">
      <c r="B11" s="29" t="s">
        <v>153</v>
      </c>
      <c r="C11" s="30" t="s">
        <v>154</v>
      </c>
    </row>
    <row r="13" spans="2:3" ht="21.75" customHeight="1" x14ac:dyDescent="0.25">
      <c r="B13" s="38" t="s">
        <v>155</v>
      </c>
      <c r="C13" s="38"/>
    </row>
    <row r="14" spans="2:3" ht="30" customHeight="1" x14ac:dyDescent="0.25">
      <c r="B14" s="25" t="s">
        <v>141</v>
      </c>
      <c r="C14" s="26" t="s">
        <v>156</v>
      </c>
    </row>
    <row r="15" spans="2:3" ht="30" customHeight="1" x14ac:dyDescent="0.25">
      <c r="B15" s="27" t="s">
        <v>157</v>
      </c>
      <c r="C15" s="28" t="s">
        <v>158</v>
      </c>
    </row>
    <row r="16" spans="2:3" ht="30" customHeight="1" x14ac:dyDescent="0.25">
      <c r="B16" s="27" t="s">
        <v>159</v>
      </c>
      <c r="C16" s="28" t="s">
        <v>160</v>
      </c>
    </row>
    <row r="17" spans="2:3" ht="30" customHeight="1" x14ac:dyDescent="0.25">
      <c r="B17" s="27" t="s">
        <v>161</v>
      </c>
      <c r="C17" s="28" t="s">
        <v>162</v>
      </c>
    </row>
    <row r="18" spans="2:3" ht="30" customHeight="1" x14ac:dyDescent="0.25">
      <c r="B18" s="27" t="s">
        <v>163</v>
      </c>
      <c r="C18" s="28" t="s">
        <v>164</v>
      </c>
    </row>
    <row r="19" spans="2:3" ht="30" customHeight="1" x14ac:dyDescent="0.25">
      <c r="B19" s="29" t="s">
        <v>153</v>
      </c>
      <c r="C19" s="30" t="s">
        <v>165</v>
      </c>
    </row>
    <row r="21" spans="2:3" ht="21.75" customHeight="1" x14ac:dyDescent="0.25">
      <c r="B21" s="39" t="s">
        <v>166</v>
      </c>
      <c r="C21" s="39"/>
    </row>
    <row r="22" spans="2:3" ht="30" customHeight="1" x14ac:dyDescent="0.25">
      <c r="B22" s="25" t="s">
        <v>141</v>
      </c>
      <c r="C22" s="26" t="s">
        <v>167</v>
      </c>
    </row>
    <row r="23" spans="2:3" ht="30" customHeight="1" x14ac:dyDescent="0.25">
      <c r="B23" s="27" t="s">
        <v>168</v>
      </c>
      <c r="C23" s="28" t="s">
        <v>169</v>
      </c>
    </row>
    <row r="24" spans="2:3" ht="30" customHeight="1" x14ac:dyDescent="0.25">
      <c r="B24" s="27" t="s">
        <v>170</v>
      </c>
      <c r="C24" s="28" t="s">
        <v>171</v>
      </c>
    </row>
    <row r="25" spans="2:3" ht="30" customHeight="1" x14ac:dyDescent="0.25">
      <c r="B25" s="27" t="s">
        <v>172</v>
      </c>
      <c r="C25" s="28" t="s">
        <v>173</v>
      </c>
    </row>
    <row r="26" spans="2:3" ht="30" customHeight="1" x14ac:dyDescent="0.25">
      <c r="B26" s="27" t="s">
        <v>174</v>
      </c>
      <c r="C26" s="28" t="s">
        <v>175</v>
      </c>
    </row>
    <row r="27" spans="2:3" ht="30" customHeight="1" x14ac:dyDescent="0.25">
      <c r="B27" s="29" t="s">
        <v>153</v>
      </c>
      <c r="C27" s="30" t="s">
        <v>176</v>
      </c>
    </row>
    <row r="29" spans="2:3" ht="21.75" customHeight="1" x14ac:dyDescent="0.25">
      <c r="B29" s="35" t="s">
        <v>177</v>
      </c>
      <c r="C29" s="35"/>
    </row>
    <row r="30" spans="2:3" ht="30" customHeight="1" x14ac:dyDescent="0.25">
      <c r="B30" s="25" t="s">
        <v>141</v>
      </c>
      <c r="C30" s="26" t="s">
        <v>178</v>
      </c>
    </row>
    <row r="31" spans="2:3" ht="30" customHeight="1" x14ac:dyDescent="0.25">
      <c r="B31" s="27" t="s">
        <v>179</v>
      </c>
      <c r="C31" s="28" t="s">
        <v>180</v>
      </c>
    </row>
    <row r="32" spans="2:3" ht="30" customHeight="1" x14ac:dyDescent="0.25">
      <c r="B32" s="27" t="s">
        <v>181</v>
      </c>
      <c r="C32" s="28" t="s">
        <v>182</v>
      </c>
    </row>
    <row r="33" spans="2:3" ht="30" customHeight="1" x14ac:dyDescent="0.25">
      <c r="B33" s="27" t="s">
        <v>183</v>
      </c>
      <c r="C33" s="28" t="s">
        <v>184</v>
      </c>
    </row>
    <row r="34" spans="2:3" ht="30" customHeight="1" x14ac:dyDescent="0.25">
      <c r="B34" s="27" t="s">
        <v>185</v>
      </c>
      <c r="C34" s="28" t="s">
        <v>186</v>
      </c>
    </row>
    <row r="35" spans="2:3" ht="30" customHeight="1" x14ac:dyDescent="0.25">
      <c r="B35" s="29" t="s">
        <v>153</v>
      </c>
      <c r="C35" s="30" t="s">
        <v>187</v>
      </c>
    </row>
    <row r="37" spans="2:3" x14ac:dyDescent="0.25">
      <c r="B37" s="36" t="s">
        <v>188</v>
      </c>
      <c r="C37" s="36"/>
    </row>
    <row r="38" spans="2:3" ht="15.75" customHeight="1" x14ac:dyDescent="0.25">
      <c r="C38" s="26" t="s">
        <v>189</v>
      </c>
    </row>
    <row r="39" spans="2:3" ht="15.75" customHeight="1" x14ac:dyDescent="0.25">
      <c r="C39" s="26" t="s">
        <v>190</v>
      </c>
    </row>
    <row r="40" spans="2:3" ht="15.75" customHeight="1" x14ac:dyDescent="0.25">
      <c r="C40" s="26" t="s">
        <v>191</v>
      </c>
    </row>
    <row r="41" spans="2:3" ht="15.75" customHeight="1" x14ac:dyDescent="0.25">
      <c r="C41" s="26" t="s">
        <v>192</v>
      </c>
    </row>
    <row r="42" spans="2:3" ht="15.75" customHeight="1" x14ac:dyDescent="0.25">
      <c r="C42" s="26" t="s">
        <v>193</v>
      </c>
    </row>
  </sheetData>
  <mergeCells count="7">
    <mergeCell ref="B29:C29"/>
    <mergeCell ref="B37:C37"/>
    <mergeCell ref="B1:C1"/>
    <mergeCell ref="B2:C2"/>
    <mergeCell ref="B4:C4"/>
    <mergeCell ref="B13:C13"/>
    <mergeCell ref="B21:C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AI Registry</vt:lpstr>
      <vt:lpstr>Access &amp; RBAC</vt:lpstr>
      <vt:lpstr>Portfolio View</vt:lpstr>
      <vt:lpstr>Domain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Thomas Freeman</cp:lastModifiedBy>
  <cp:revision>1</cp:revision>
  <dcterms:created xsi:type="dcterms:W3CDTF">2026-06-01T18:51:02Z</dcterms:created>
  <dcterms:modified xsi:type="dcterms:W3CDTF">2026-06-04T03:12:16Z</dcterms:modified>
  <dc:language>en-US</dc:language>
</cp:coreProperties>
</file>